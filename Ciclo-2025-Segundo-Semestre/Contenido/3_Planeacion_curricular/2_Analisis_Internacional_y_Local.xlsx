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Competencias_1re_Sem_2026" sheetId="5" r:id="rId9"/>
    <sheet state="visible" name="Diseño_Lab_Post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<sst xmlns="http://schemas.openxmlformats.org/spreadsheetml/2006/main" count="232" uniqueCount="109">
  <si>
    <t>Identificación de referentes internacionales</t>
  </si>
  <si>
    <t>Comparación con referentes internacionales</t>
  </si>
  <si>
    <t>Competencias actuales del laboratorio</t>
  </si>
  <si>
    <t>Que se impartio el en Curso Previo el Segundo Semestre 2025</t>
  </si>
  <si>
    <t>Nombre del Curso</t>
  </si>
  <si>
    <t>Sistemas de Bases de Datos 1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</si>
  <si>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</si>
  <si>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</si>
  <si>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</si>
  <si>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</si>
  <si>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Columbia University</t>
  </si>
  <si>
    <t>W4153 Cloud Computing</t>
  </si>
  <si>
    <t>Laboratorio Actual</t>
  </si>
  <si>
    <t>Fuente de Información</t>
  </si>
  <si>
    <t>Universidad Referente</t>
  </si>
  <si>
    <t>Estandar Referente</t>
  </si>
  <si>
    <t>Competencia</t>
  </si>
  <si>
    <t>Unidad</t>
  </si>
  <si>
    <r>
      <rPr>
        <rFont val="Arial"/>
        <color rgb="FF1155CC"/>
        <u/>
      </rPr>
      <t>https://donald-f-ferguson.github.io/W4153-Cloud-Computing-Base/</t>
    </r>
    <r>
      <rPr>
        <rFont val="Arial"/>
        <color rgb="FF000000"/>
      </rPr>
      <t xml:space="preserve">  https://doc.sis.columbia.edu/subj/COMS/W4153-20243-001</t>
    </r>
  </si>
  <si>
    <t>Tema</t>
  </si>
  <si>
    <t>SubTema</t>
  </si>
  <si>
    <t>Presente en el referente (Sí/No)</t>
  </si>
  <si>
    <t>Código del Curso</t>
  </si>
  <si>
    <t>No</t>
  </si>
  <si>
    <t>Subtema</t>
  </si>
  <si>
    <t>797 - Seminario de Sistemas 1</t>
  </si>
  <si>
    <t>Mes</t>
  </si>
  <si>
    <t>Semana</t>
  </si>
  <si>
    <t>Semestre</t>
  </si>
  <si>
    <t>SI</t>
  </si>
  <si>
    <t>Si</t>
  </si>
  <si>
    <t>Temas relacionados al laboratorio que se imparte</t>
  </si>
  <si>
    <t>Infrastructure-as-a-Service, Container-as-a-Service, Platform-as-a-Service, Function-as-a-Service, API-as-a-Service (OpenAPI), Software-as-a-Service, Bases de datos en la nube y almacenamiento en la nube, Multi-tenant applications, Microservices, REST, GraphQL, OpenID, OAuth2, cloud identity and access management, Gestión de nube y aplicaciones, monitoreo y operaciones, Continuous integration/continuous delivery, Service, application and infrastructure integration and orchestration, Architecture, software and cloud design patterns and best practices.</t>
  </si>
  <si>
    <t>Sí</t>
  </si>
  <si>
    <t>Área de Conocimiento</t>
  </si>
  <si>
    <t>Herramientas utilizadas relacionados al laboratorio que se imparte</t>
  </si>
  <si>
    <t>AWS, Microsoft Azure Services y Google Cloud Platform Services</t>
  </si>
  <si>
    <t>Competencia(s) relacionada(s) al laboratorio que se imparte</t>
  </si>
  <si>
    <t>Cantidad de Creditos</t>
  </si>
  <si>
    <t>Habilidades de ingeniería de software + aplicación práctica de servicios en la nube, Proyectos colaborativos con herramientas reales de nube, Uso de nubes reales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</si>
  <si>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</si>
  <si>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</si>
  <si>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</si>
  <si>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</t>
  </si>
  <si>
    <t>Horas de aprendizaje</t>
  </si>
  <si>
    <t>Sección , Capitulo , etc,</t>
  </si>
  <si>
    <t>ABET SECCION 3</t>
  </si>
  <si>
    <t>Funte de Información</t>
  </si>
  <si>
    <r>
      <rPr>
        <rFont val="Arial"/>
        <color rgb="FF1155CC"/>
        <u/>
      </rPr>
      <t>https://bulletin.columbia.edu/columbia-engineering/student-handbook/Student_Handbook_2024-2025.pdf</t>
    </r>
    <r>
      <rPr>
        <rFont val="Arial"/>
        <color theme="1"/>
      </rPr>
      <t xml:space="preserve"> (PAGINA 4)</t>
    </r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</si>
  <si>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</si>
  <si>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</si>
  <si>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</si>
  <si>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</si>
  <si>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</si>
  <si>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</si>
  <si>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Contenidos relacionados al laboratorio que se imparte</t>
  </si>
  <si>
    <t>Nombre</t>
  </si>
  <si>
    <t>Seguridad de nube, identity &amp; access management (OpenID/OAuth2)
Plataforma como servicio, función como servicio, SaaS
(y más temas en semanas posteriores)</t>
  </si>
  <si>
    <r>
      <rPr>
        <rFont val="Arial"/>
        <color rgb="FF1155CC"/>
        <u/>
      </rPr>
      <t>https://bulletin.columbia.edu/columbia-engineering/student-handbook/Student_Handbook_2024-2025.pdf</t>
    </r>
    <r>
      <rPr>
        <rFont val="Arial"/>
        <color theme="1"/>
      </rPr>
      <t xml:space="preserve"> (PAGINA 4)</t>
    </r>
  </si>
  <si>
    <t>Introducción, conceptos centrales, microservicios, aplicaciones full-stack
Virtualización, IaaS, REST, OpenAPI, API gateway
Contenedores, Container-as-a-Service, GraphQL, composición de servicios, datos en la nube y almacenamiento</t>
  </si>
  <si>
    <t>Competencias Actuales</t>
  </si>
  <si>
    <t>Tipo</t>
  </si>
  <si>
    <t>Nivel de la Taxonomina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</si>
  <si>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</si>
  <si>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</si>
  <si>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</si>
  <si>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</si>
  <si>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Maneja e Interpreta adecuadamente datos masivos, sean estos
 estructurados o no estructurados, facilitando su visualización e interpretación
 de forma eficaz en apoyo a la toma de decisiones.</t>
  </si>
  <si>
    <t>Identifica oportunidades y riesgos para la innovación y adaptación de
 conocimientos y tecnologías para resolver problemas.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</si>
  <si>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</si>
  <si>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Toma decisiones profesionales con base en fundamentos teóricos, datos e
 información pertinente, válida y confiable.</t>
  </si>
  <si>
    <t>Construye soluciones integrales trabajando en forma colaborativa y
 propositiva en equipos interdisciplinarios, en forma presencial o utilizando
 plataformas virtuales.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</si>
  <si>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</si>
  <si>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</si>
  <si>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</si>
  <si>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</si>
  <si>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</si>
  <si>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</si>
  <si>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Explica</t>
  </si>
  <si>
    <t>el concepto de  Cloud Computing, sus modelos de servicio y las ventajas y limitaciones de distintos proveedores Cloud</t>
  </si>
  <si>
    <t>mediante ejemplos cotidianos, casos de uso empresarial y comparativas</t>
  </si>
  <si>
    <t>para el desarrollo de infraestructuras escalables y rentables.</t>
  </si>
  <si>
    <t>Comprender</t>
  </si>
  <si>
    <t>Implementa</t>
  </si>
  <si>
    <t>servicios básicos de Cloud</t>
  </si>
  <si>
    <t>utilizando Amazon EC2, Amazon RDS, Amazon S3, Azure Virtual Machines, Azure SQL, Azure Blob Storage, Azure App Services y Azure Logic Apps</t>
  </si>
  <si>
    <t>para desplegar aplicaciones básicas, considerando la configuración de redes, seguridad y escalabilidad.</t>
  </si>
  <si>
    <t>Aplicar</t>
  </si>
  <si>
    <t>Desarrolla</t>
  </si>
  <si>
    <t>aplicaciones serverless simples</t>
  </si>
  <si>
    <t>utilizando AWS Lambda y Azure Functions</t>
  </si>
  <si>
    <t>para procesar eventos y ejecutar la lógica de los negocios</t>
  </si>
  <si>
    <t>servicios de inteligencia artificial</t>
  </si>
  <si>
    <t>utilizando IA de AWS y Azure Cognitive Services</t>
  </si>
  <si>
    <t>para resolver problemas de lenguaje natrual, análisis de imagenes o chabots.</t>
  </si>
  <si>
    <t>Crear</t>
  </si>
  <si>
    <t>aplicaciones low-code</t>
  </si>
  <si>
    <t>utilizando Power Automate y Power apps</t>
  </si>
  <si>
    <t>para integrar sistemas, flujos de trabajo y datos.</t>
  </si>
  <si>
    <t>Empaqueta</t>
  </si>
  <si>
    <t>aplicaciones en contenedores</t>
  </si>
  <si>
    <t>utilizando Docker</t>
  </si>
  <si>
    <t>para garantizar portabilidad y consistencia entre entornos de desarrollo, pruebas y producción.</t>
  </si>
  <si>
    <t>Aplica</t>
  </si>
  <si>
    <t>principios básicos de ingeniería</t>
  </si>
  <si>
    <t>a través de conceptos de Cloud Computing</t>
  </si>
  <si>
    <t>para el desarrollo de aplicaciones básicas</t>
  </si>
  <si>
    <t>Que se impartio el en Curso Posterior el Segundo Semestre 2025</t>
  </si>
  <si>
    <t>Seminario de Sistemas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</si>
</sst>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FF6D01"/>
      <name val="Arial"/>
    </font>
    <font>
      <b/>
      <sz val="12.0"/>
      <color theme="8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/>
    <font>
      <b/>
      <sz val="12.0"/>
      <color theme="4"/>
      <name val="Arial"/>
    </font>
    <font>
      <color rgb="FF999999"/>
      <name val="Arial"/>
    </font>
    <font>
      <b/>
      <sz val="12.0"/>
      <color rgb="FF404040"/>
      <name val="Roboto"/>
    </font>
    <font>
      <sz val="12.0"/>
      <color theme="1"/>
      <name val="Arial"/>
    </font>
    <font>
      <sz val="53.0"/>
      <color theme="1"/>
      <name val="Arial"/>
    </font>
    <font>
      <u/>
      <color rgb="FF0000FF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u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1"/>
    </xf>
    <xf borderId="0" fillId="0" fontId="1" numFmtId="0" xfId="0" applyFont="1"/>
    <xf borderId="2" fillId="0" fontId="6" numFmtId="0" xfId="0" applyBorder="1" applyFont="1"/>
    <xf borderId="3" fillId="0" fontId="7" numFmtId="0" xfId="0" applyBorder="1" applyFont="1"/>
    <xf borderId="0" fillId="0" fontId="6" numFmtId="0" xfId="0" applyAlignment="1" applyFont="1">
      <alignment shrinkToFit="0" wrapText="1"/>
    </xf>
    <xf borderId="4" fillId="0" fontId="7" numFmtId="0" xfId="0" applyBorder="1" applyFont="1"/>
    <xf borderId="1" fillId="4" fontId="6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2" fontId="6" numFmtId="0" xfId="0" applyAlignment="1" applyFill="1" applyFont="1">
      <alignment vertical="bottom"/>
    </xf>
    <xf borderId="0" fillId="0" fontId="4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2" fillId="5" fontId="10" numFmtId="0" xfId="0" applyAlignment="1" applyBorder="1" applyFill="1" applyFont="1">
      <alignment vertical="bottom"/>
    </xf>
    <xf borderId="0" fillId="0" fontId="6" numFmtId="0" xfId="0" applyFont="1"/>
    <xf borderId="1" fillId="3" fontId="6" numFmtId="0" xfId="0" applyAlignment="1" applyBorder="1" applyFill="1" applyFont="1">
      <alignment shrinkToFit="0" wrapText="1"/>
    </xf>
    <xf borderId="0" fillId="0" fontId="4" numFmtId="0" xfId="0" applyAlignment="1" applyFont="1">
      <alignment readingOrder="0"/>
    </xf>
    <xf borderId="3" fillId="0" fontId="6" numFmtId="0" xfId="0" applyBorder="1" applyFont="1"/>
    <xf borderId="2" fillId="3" fontId="6" numFmtId="0" xfId="0" applyAlignment="1" applyBorder="1" applyFill="1" applyFont="1">
      <alignment shrinkToFit="0" wrapText="1"/>
    </xf>
    <xf borderId="4" fillId="0" fontId="6" numFmtId="0" xfId="0" applyBorder="1" applyFont="1"/>
    <xf borderId="2" fillId="2" fontId="11" numFmtId="0" xfId="0" applyAlignment="1" applyBorder="1" applyFill="1" applyFont="1">
      <alignment horizontal="center" vertical="bottom"/>
    </xf>
    <xf borderId="1" fillId="0" fontId="4" numFmtId="49" xfId="0" applyAlignment="1" applyBorder="1" applyFont="1" applyNumberFormat="1">
      <alignment readingOrder="0"/>
    </xf>
    <xf borderId="0" fillId="0" fontId="4" numFmtId="49" xfId="0" applyFont="1" applyNumberFormat="1"/>
    <xf borderId="0" fillId="0" fontId="12" numFmtId="0" xfId="0" applyAlignment="1" applyFont="1">
      <alignment horizontal="center"/>
    </xf>
    <xf borderId="1" fillId="6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 shrinkToFit="0" wrapText="1"/>
    </xf>
    <xf borderId="1" fillId="6" fontId="4" numFmtId="0" xfId="0" applyAlignment="1" applyBorder="1" applyFill="1" applyFont="1">
      <alignment readingOrder="0"/>
    </xf>
    <xf borderId="1" fillId="0" fontId="6" numFmtId="0" xfId="0" applyAlignment="1" applyBorder="1" applyFont="1">
      <alignment shrinkToFit="0" wrapText="1"/>
    </xf>
    <xf borderId="2" fillId="4" fontId="4" numFmtId="0" xfId="0" applyAlignment="1" applyBorder="1" applyFill="1" applyFont="1">
      <alignment horizontal="center" readingOrder="0"/>
    </xf>
    <xf borderId="0" fillId="0" fontId="4" numFmtId="0" xfId="0" applyFont="1"/>
    <xf borderId="2" fillId="0" fontId="13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" fillId="3" fontId="14" numFmtId="0" xfId="0" applyBorder="1" applyFill="1" applyFont="1"/>
    <xf borderId="2" fillId="0" fontId="11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0" fillId="2" fontId="6" numFmtId="0" xfId="0" applyAlignment="1" applyFill="1" applyFont="1">
      <alignment shrinkToFit="0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0" fillId="0" fontId="6" numFmtId="0" xfId="0" applyAlignment="1" applyFont="1">
      <alignment vertical="bottom"/>
    </xf>
    <xf borderId="2" fillId="5" fontId="15" numFmtId="0" xfId="0" applyAlignment="1" applyBorder="1" applyFill="1" applyFont="1">
      <alignment vertical="bottom"/>
    </xf>
    <xf borderId="0" fillId="7" fontId="16" numFmtId="0" xfId="0" applyAlignment="1" applyFill="1" applyFont="1">
      <alignment horizontal="center" vertical="bottom"/>
    </xf>
    <xf borderId="1" fillId="0" fontId="6" numFmtId="0" xfId="0" applyBorder="1" applyFont="1"/>
    <xf borderId="0" fillId="8" fontId="5" numFmtId="0" xfId="0" applyAlignment="1" applyFill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10" fontId="5" numFmtId="0" xfId="0" applyAlignment="1" applyFill="1" applyFont="1">
      <alignment horizontal="center"/>
    </xf>
    <xf borderId="2" fillId="0" fontId="17" numFmtId="0" xfId="0" applyAlignment="1" applyBorder="1" applyFont="1">
      <alignment readingOrder="0"/>
    </xf>
    <xf borderId="1" fillId="0" fontId="18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" fillId="2" fontId="19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3" fontId="5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0" fillId="0" fontId="20" numFmtId="0" xfId="0" applyAlignment="1" applyFont="1">
      <alignment horizontal="center"/>
    </xf>
    <xf borderId="2" fillId="5" fontId="21" numFmtId="0" xfId="0" applyAlignment="1" applyBorder="1" applyFill="1" applyFont="1">
      <alignment horizontal="center" shrinkToFit="0" wrapText="1"/>
    </xf>
    <xf borderId="1" fillId="2" fontId="21" numFmtId="0" xfId="0" applyAlignment="1" applyBorder="1" applyFill="1" applyFont="1">
      <alignment horizontal="center" shrinkToFit="0" wrapText="1"/>
    </xf>
    <xf borderId="0" fillId="2" fontId="6" numFmtId="0" xfId="0" applyFill="1" applyFont="1"/>
    <xf borderId="1" fillId="2" fontId="2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4" numFmtId="0" xfId="0" applyFont="1"/>
    <xf borderId="1" fillId="9" fontId="18" numFmtId="0" xfId="0" applyAlignment="1" applyBorder="1" applyFill="1" applyFont="1">
      <alignment horizontal="center" vertical="bottom"/>
    </xf>
    <xf borderId="2" fillId="9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horizontal="center" shrinkToFit="0" vertical="bottom" wrapText="1"/>
    </xf>
    <xf borderId="2" fillId="9" fontId="18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8" numFmtId="0" xfId="0" applyAlignment="1" applyBorder="1" applyFont="1">
      <alignment readingOrder="0"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readingOrder="0" vertical="bottom"/>
    </xf>
    <xf borderId="1" fillId="13" fontId="6" numFmtId="0" xfId="0" applyAlignment="1" applyBorder="1" applyFill="1" applyFont="1">
      <alignment readingOrder="0" vertical="bottom"/>
    </xf>
    <xf borderId="2" fillId="14" fontId="6" numFmtId="0" xfId="0" applyAlignment="1" applyBorder="1" applyFill="1" applyFont="1">
      <alignment readingOrder="0" vertical="bottom"/>
    </xf>
    <xf borderId="1" fillId="15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4" fontId="22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1" fillId="6" fontId="4" numFmtId="0" xfId="0" applyAlignment="1" applyBorder="1" applyFill="1" applyFont="1">
      <alignment readingOrder="0" shrinkToFit="0" wrapText="1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485775</xdr:colOff>
      <xdr:row>7</xdr:row>
      <xdr:rowOff>133350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nald-f-ferguson.github.io/W4153-Cloud-Computing-Base/?utm_source=chatgpt.com" TargetMode="External"/><Relationship Id="rId2" Type="http://schemas.openxmlformats.org/officeDocument/2006/relationships/hyperlink" Target="https://bulletin.columbia.edu/columbia-engineering/student-handbook/Student_Handbook_2024-2025.pdf" TargetMode="External"/><Relationship Id="rId3" Type="http://schemas.openxmlformats.org/officeDocument/2006/relationships/hyperlink" Target="https://bulletin.columbia.edu/columbia-engineering/student-handbook/Student_Handbook_2024-2025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4" t="s">
        <v>2</v>
      </c>
    </row>
    <row r="2" ht="15.75" customHeight="1">
      <c r="A2" s="9">
        <f>VALUE(LEFT(F4,FIND(" - ",F4)-1))</f>
        <v>797</v>
      </c>
      <c r="B2" s="12"/>
    </row>
    <row r="3" ht="15.75" customHeight="1">
      <c r="B3" s="17"/>
      <c r="C3" s="17"/>
      <c r="D3" s="21" t="s">
        <v>4</v>
      </c>
      <c r="E3" s="13"/>
      <c r="F3" s="28" t="str">
        <f>IFERROR(__xludf.DUMMYFUNCTION("VLOOKUP(A2,IMPORTRANGE(""1j2lHEvOoZ_EPY086Qt7f7AFaZGVfiYKJxXlsnNfWCA0"", ""Listado Cursos!$A$2:$H$100""),2,FALSE)"),"Seminario de Sistemas 1")</f>
        <v>Seminario de Sistemas 1</v>
      </c>
      <c r="G3" s="11"/>
      <c r="H3" s="11"/>
      <c r="I3" s="11"/>
      <c r="J3" s="13"/>
      <c r="K3" s="31"/>
      <c r="L3" s="22"/>
    </row>
    <row r="4" ht="15.75" customHeight="1">
      <c r="B4" s="17"/>
      <c r="C4" s="17"/>
      <c r="D4" s="21" t="s">
        <v>22</v>
      </c>
      <c r="E4" s="13"/>
      <c r="F4" s="36" t="s">
        <v>25</v>
      </c>
      <c r="G4" s="11"/>
      <c r="H4" s="11"/>
      <c r="I4" s="11"/>
      <c r="J4" s="13"/>
      <c r="K4" s="31"/>
      <c r="L4" s="22"/>
    </row>
    <row r="5" ht="15.75" customHeight="1">
      <c r="B5" s="17"/>
      <c r="C5" s="17"/>
      <c r="D5" s="21" t="s">
        <v>28</v>
      </c>
      <c r="E5" s="13"/>
      <c r="F5" s="41">
        <f>IFERROR(__xludf.DUMMYFUNCTION("VLOOKUP(A2,IMPORTRANGE(""1j2lHEvOoZ_EPY086Qt7f7AFaZGVfiYKJxXlsnNfWCA0"", ""Listado Cursos!A:G""),4,FALSE)"),8.0)</f>
        <v>8</v>
      </c>
      <c r="G5" s="11"/>
      <c r="H5" s="11"/>
      <c r="I5" s="11"/>
      <c r="J5" s="13"/>
      <c r="K5" s="31"/>
      <c r="L5" s="45"/>
    </row>
    <row r="6" ht="15.75" customHeight="1">
      <c r="B6" s="17"/>
      <c r="C6" s="17"/>
      <c r="D6" s="21" t="s">
        <v>34</v>
      </c>
      <c r="E6" s="13"/>
      <c r="F6" s="41" t="str">
        <f>IFERROR(__xludf.DUMMYFUNCTION("VLOOKUP(A2,IMPORTRANGE(""1j2lHEvOoZ_EPY086Qt7f7AFaZGVfiYKJxXlsnNfWCA0"", ""Listado Cursos!A:G""),6,FALSE)"),"Sistemas")</f>
        <v>Sistemas</v>
      </c>
      <c r="G6" s="11"/>
      <c r="H6" s="11"/>
      <c r="I6" s="11"/>
      <c r="J6" s="13"/>
      <c r="K6" s="31"/>
      <c r="L6" s="45"/>
    </row>
    <row r="7" ht="15.75" customHeight="1">
      <c r="B7" s="49"/>
      <c r="C7" s="49"/>
      <c r="D7" s="50" t="s">
        <v>38</v>
      </c>
      <c r="E7" s="13"/>
      <c r="F7" s="41">
        <f>IFERROR(__xludf.DUMMYFUNCTION("VLOOKUP(A2,IMPORTRANGE(""1j2lHEvOoZ_EPY086Qt7f7AFaZGVfiYKJxXlsnNfWCA0"", ""Listado Cursos!A:G""),3,FALSE)"),5.0)</f>
        <v>5</v>
      </c>
      <c r="G7" s="11"/>
      <c r="H7" s="11"/>
      <c r="I7" s="11"/>
      <c r="J7" s="13"/>
      <c r="K7" s="49"/>
      <c r="L7" s="45"/>
    </row>
    <row r="8" ht="15.75" customHeight="1">
      <c r="B8" s="49"/>
      <c r="C8" s="49"/>
      <c r="D8" s="50" t="s">
        <v>44</v>
      </c>
      <c r="E8" s="13"/>
      <c r="F8" s="41">
        <v>4.0</v>
      </c>
      <c r="G8" s="11"/>
      <c r="H8" s="11"/>
      <c r="I8" s="11"/>
      <c r="J8" s="13"/>
      <c r="K8" s="49"/>
      <c r="L8" s="45"/>
    </row>
    <row r="9" ht="15.75" customHeight="1">
      <c r="B9" s="49"/>
      <c r="C9" s="49"/>
      <c r="D9" s="49"/>
      <c r="E9" s="49"/>
      <c r="F9" s="49"/>
      <c r="G9" s="49"/>
      <c r="H9" s="49"/>
      <c r="I9" s="49"/>
      <c r="J9" s="49"/>
      <c r="K9" s="49"/>
      <c r="L9" s="45"/>
    </row>
    <row r="10" ht="15.75" customHeight="1"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</row>
    <row r="11" ht="15.75" customHeight="1">
      <c r="B11" s="51" t="s">
        <v>49</v>
      </c>
    </row>
    <row r="12" ht="15.75" customHeight="1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</row>
    <row r="13" ht="15.75" customHeight="1">
      <c r="B13" s="53" t="s">
        <v>50</v>
      </c>
      <c r="E13" s="49"/>
      <c r="F13" s="54" t="s">
        <v>51</v>
      </c>
      <c r="I13" s="49"/>
      <c r="J13" s="55" t="s">
        <v>52</v>
      </c>
    </row>
    <row r="14" ht="15.75" customHeight="1">
      <c r="B14" s="57" t="s">
        <v>53</v>
      </c>
      <c r="C14" s="57" t="s">
        <v>54</v>
      </c>
      <c r="D14" s="57" t="s">
        <v>56</v>
      </c>
      <c r="E14" s="49"/>
      <c r="F14" s="58" t="s">
        <v>53</v>
      </c>
      <c r="G14" s="57" t="s">
        <v>54</v>
      </c>
      <c r="H14" s="57" t="s">
        <v>56</v>
      </c>
      <c r="I14" s="49"/>
      <c r="J14" s="59" t="s">
        <v>53</v>
      </c>
      <c r="K14" s="60" t="s">
        <v>54</v>
      </c>
      <c r="L14" s="60" t="s">
        <v>56</v>
      </c>
    </row>
    <row r="15" ht="15.75" customHeight="1">
      <c r="B15" s="61">
        <v>1.0</v>
      </c>
      <c r="C15" s="62">
        <f>IFERROR(__xludf.DUMMYFUNCTION("ARRAYFORMULA(TRANSPOSE(SPLIT(FILTER(IMPORTRANGE(""1j2lHEvOoZ_EPY086Qt7f7AFaZGVfiYKJxXlsnNfWCA0"", ""Listado Cursos!E:E""), IMPORTRANGE(""1j2lHEvOoZ_EPY086Qt7f7AFaZGVfiYKJxXlsnNfWCA0"", ""Listado Cursos!A:A"")=A2), "","")))"),281.0)</f>
        <v>281</v>
      </c>
      <c r="D15" s="63" t="str">
        <f>IFERROR(__xludf.DUMMYFUNCTION("IF(C15="""","""",VLOOKUP(C15,IMPORTRANGE(""1j2lHEvOoZ_EPY086Qt7f7AFaZGVfiYKJxXlsnNfWCA0"", ""Listado Cursos!A:B""),2,FALSE))"),"Sistemas Operativos 1")</f>
        <v>Sistemas Operativos 1</v>
      </c>
      <c r="E15" s="49"/>
      <c r="F15" s="61">
        <v>1.0</v>
      </c>
      <c r="G15" s="64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65" t="str">
        <f>IFERROR(__xludf.DUMMYFUNCTION("""COMPUTED_VALUE"""),"Sistemas Operativos 2")</f>
        <v>Sistemas Operativos 2</v>
      </c>
      <c r="I15" s="49"/>
      <c r="J15" s="66">
        <v>1.0</v>
      </c>
      <c r="K15" s="67">
        <f>IFERROR(__xludf.DUMMYFUNCTION("FILTER(IMPORTRANGE(""1j2lHEvOoZ_EPY086Qt7f7AFaZGVfiYKJxXlsnNfWCA0"", ""Listado Cursos!A:B""), ISNUMBER(SEARCH(A2, IMPORTRANGE(""1j2lHEvOoZ_EPY086Qt7f7AFaZGVfiYKJxXlsnNfWCA0"", ""Listado Cursos!E:E""))))"),798.0)</f>
        <v>798</v>
      </c>
      <c r="L15" s="68" t="str">
        <f>IFERROR(__xludf.DUMMYFUNCTION("""COMPUTED_VALUE"""),"Seminario de Sistemas 2")</f>
        <v>Seminario de Sistemas 2</v>
      </c>
    </row>
    <row r="16" ht="15.75" customHeight="1">
      <c r="B16" s="61">
        <v>2.0</v>
      </c>
      <c r="C16" s="63">
        <f>IFERROR(__xludf.DUMMYFUNCTION("""COMPUTED_VALUE"""),724.0)</f>
        <v>724</v>
      </c>
      <c r="D16" s="63" t="str">
        <f>IFERROR(__xludf.DUMMYFUNCTION("IF(C16="""","""",VLOOKUP(C16,IMPORTRANGE(""1j2lHEvOoZ_EPY086Qt7f7AFaZGVfiYKJxXlsnNfWCA0"", ""Listado Cursos!A:B""),2,FALSE))"),"Teoría de Sistemas 2")</f>
        <v>Teoría de Sistemas 2</v>
      </c>
      <c r="E16" s="49"/>
      <c r="F16" s="61">
        <v>2.0</v>
      </c>
      <c r="G16" s="64">
        <f>IFERROR(__xludf.DUMMYFUNCTION("""COMPUTED_VALUE"""),975.0)</f>
        <v>975</v>
      </c>
      <c r="H16" s="65" t="str">
        <f>IFERROR(__xludf.DUMMYFUNCTION("""COMPUTED_VALUE"""),"Redes de Computadoras 2")</f>
        <v>Redes de Computadoras 2</v>
      </c>
      <c r="I16" s="49"/>
      <c r="J16" s="66">
        <v>2.0</v>
      </c>
      <c r="K16" s="69"/>
      <c r="L16" s="68"/>
    </row>
    <row r="17" ht="15.75" customHeight="1">
      <c r="B17" s="61">
        <v>3.0</v>
      </c>
      <c r="C17" s="63">
        <f>IFERROR(__xludf.DUMMYFUNCTION("""COMPUTED_VALUE"""),774.0)</f>
        <v>774</v>
      </c>
      <c r="D17" s="63" t="str">
        <f>IFERROR(__xludf.DUMMYFUNCTION("IF(C17="""","""",VLOOKUP(C17,IMPORTRANGE(""1j2lHEvOoZ_EPY086Qt7f7AFaZGVfiYKJxXlsnNfWCA0"", ""Listado Cursos!A:B""),2,FALSE))"),"Sistemas de Bases de Datos 1")</f>
        <v>Sistemas de Bases de Datos 1</v>
      </c>
      <c r="E17" s="49"/>
      <c r="F17" s="61">
        <v>3.0</v>
      </c>
      <c r="G17" s="64">
        <f>IFERROR(__xludf.DUMMYFUNCTION("""COMPUTED_VALUE"""),775.0)</f>
        <v>775</v>
      </c>
      <c r="H17" s="65" t="str">
        <f>IFERROR(__xludf.DUMMYFUNCTION("""COMPUTED_VALUE"""),"Sistemas de Bases de Datos 2")</f>
        <v>Sistemas de Bases de Datos 2</v>
      </c>
      <c r="I17" s="49"/>
      <c r="J17" s="66">
        <v>3.0</v>
      </c>
      <c r="K17" s="69"/>
      <c r="L17" s="68"/>
    </row>
    <row r="18" ht="15.75" customHeight="1">
      <c r="B18" s="61">
        <v>4.0</v>
      </c>
      <c r="C18" s="63"/>
      <c r="D18" s="63" t="str">
        <f>IFERROR(__xludf.DUMMYFUNCTION("IF(C18="""","""",VLOOKUP(C18,IMPORTRANGE(""1j2lHEvOoZ_EPY086Qt7f7AFaZGVfiYKJxXlsnNfWCA0"", ""Listado Cursos!A:B""),2,FALSE))"),"")</f>
        <v/>
      </c>
      <c r="E18" s="49"/>
      <c r="F18" s="61">
        <v>4.0</v>
      </c>
      <c r="G18" s="64">
        <f>IFERROR(__xludf.DUMMYFUNCTION("""COMPUTED_VALUE"""),283.0)</f>
        <v>283</v>
      </c>
      <c r="H18" s="65" t="str">
        <f>IFERROR(__xludf.DUMMYFUNCTION("""COMPUTED_VALUE"""),"Análisis y Diseño de Sistemas 1")</f>
        <v>Análisis y Diseño de Sistemas 1</v>
      </c>
      <c r="I18" s="49"/>
      <c r="J18" s="66">
        <v>4.0</v>
      </c>
      <c r="K18" s="69"/>
      <c r="L18" s="68"/>
    </row>
    <row r="19" ht="15.75" customHeight="1">
      <c r="B19" s="61">
        <v>5.0</v>
      </c>
      <c r="C19" s="63"/>
      <c r="D19" s="63" t="str">
        <f>IFERROR(__xludf.DUMMYFUNCTION("IF(C19="""","""",VLOOKUP(C19,IMPORTRANGE(""1j2lHEvOoZ_EPY086Qt7f7AFaZGVfiYKJxXlsnNfWCA0"", ""Listado Cursos!A:B""),2,FALSE))"),"")</f>
        <v/>
      </c>
      <c r="E19" s="49"/>
      <c r="F19" s="61">
        <v>5.0</v>
      </c>
      <c r="G19" s="64">
        <f>IFERROR(__xludf.DUMMYFUNCTION("""COMPUTED_VALUE"""),797.0)</f>
        <v>797</v>
      </c>
      <c r="H19" s="65" t="str">
        <f>IFERROR(__xludf.DUMMYFUNCTION("""COMPUTED_VALUE"""),"Seminario de Sistemas 1")</f>
        <v>Seminario de Sistemas 1</v>
      </c>
      <c r="I19" s="49"/>
      <c r="J19" s="66">
        <v>5.0</v>
      </c>
      <c r="K19" s="69"/>
      <c r="L19" s="68"/>
    </row>
    <row r="20" ht="15.75" customHeight="1">
      <c r="B20" s="61">
        <v>6.0</v>
      </c>
      <c r="C20" s="63"/>
      <c r="D20" s="63" t="str">
        <f>IFERROR(__xludf.DUMMYFUNCTION("IF(C20="""","""",VLOOKUP(C20,IMPORTRANGE(""1j2lHEvOoZ_EPY086Qt7f7AFaZGVfiYKJxXlsnNfWCA0"", ""Listado Cursos!A:B""),2,FALSE))"),"")</f>
        <v/>
      </c>
      <c r="E20" s="49"/>
      <c r="F20" s="61">
        <v>6.0</v>
      </c>
      <c r="G20" s="64">
        <f>IFERROR(__xludf.DUMMYFUNCTION("""COMPUTED_VALUE"""),700.0)</f>
        <v>700</v>
      </c>
      <c r="H20" s="63" t="str">
        <f>IFERROR(__xludf.DUMMYFUNCTION("""COMPUTED_VALUE"""),"Ingeniería Económica 1")</f>
        <v>Ingeniería Económica 1</v>
      </c>
      <c r="I20" s="49"/>
      <c r="J20" s="66">
        <v>6.0</v>
      </c>
      <c r="K20" s="69"/>
      <c r="L20" s="68"/>
    </row>
    <row r="21" ht="15.75" customHeight="1">
      <c r="B21" s="61">
        <v>7.0</v>
      </c>
      <c r="C21" s="63"/>
      <c r="D21" s="63" t="str">
        <f>IFERROR(__xludf.DUMMYFUNCTION("IF(C21="""","""",VLOOKUP(C21,IMPORTRANGE(""1j2lHEvOoZ_EPY086Qt7f7AFaZGVfiYKJxXlsnNfWCA0"", ""Listado Cursos!A:B""),2,FALSE))"),"")</f>
        <v/>
      </c>
      <c r="E21" s="49"/>
      <c r="F21" s="61">
        <v>7.0</v>
      </c>
      <c r="G21" s="65"/>
      <c r="H21" s="63"/>
      <c r="I21" s="49"/>
      <c r="J21" s="66">
        <v>7.0</v>
      </c>
      <c r="K21" s="69"/>
      <c r="L21" s="68"/>
    </row>
    <row r="22" ht="15.75" customHeight="1">
      <c r="B22" s="61">
        <v>8.0</v>
      </c>
      <c r="C22" s="63"/>
      <c r="D22" s="63" t="str">
        <f>IFERROR(__xludf.DUMMYFUNCTION("IF(C22="""","""",VLOOKUP(C22,IMPORTRANGE(""1j2lHEvOoZ_EPY086Qt7f7AFaZGVfiYKJxXlsnNfWCA0"", ""Listado Cursos!A:B""),2,FALSE))"),"")</f>
        <v/>
      </c>
      <c r="E22" s="49"/>
      <c r="F22" s="61">
        <v>8.0</v>
      </c>
      <c r="G22" s="65"/>
      <c r="H22" s="63"/>
      <c r="I22" s="49"/>
      <c r="J22" s="66">
        <v>8.0</v>
      </c>
      <c r="K22" s="68"/>
      <c r="L22" s="68"/>
    </row>
    <row r="23" ht="15.75" customHeight="1">
      <c r="B23" s="61">
        <v>9.0</v>
      </c>
      <c r="C23" s="63"/>
      <c r="D23" s="63" t="str">
        <f>IFERROR(__xludf.DUMMYFUNCTION("IF(C23="""","""",VLOOKUP(C23,IMPORTRANGE(""1j2lHEvOoZ_EPY086Qt7f7AFaZGVfiYKJxXlsnNfWCA0"", ""Listado Cursos!A:B""),2,FALSE))"),"")</f>
        <v/>
      </c>
      <c r="E23" s="49"/>
      <c r="F23" s="61">
        <v>9.0</v>
      </c>
      <c r="G23" s="63"/>
      <c r="H23" s="63"/>
      <c r="I23" s="49"/>
      <c r="J23" s="66">
        <v>9.0</v>
      </c>
      <c r="K23" s="68"/>
      <c r="L23" s="68"/>
    </row>
    <row r="24" ht="15.75" customHeight="1">
      <c r="B24" s="61">
        <v>10.0</v>
      </c>
      <c r="C24" s="63"/>
      <c r="D24" s="63" t="str">
        <f>IFERROR(__xludf.DUMMYFUNCTION("IF(C24="""","""",VLOOKUP(C24,IMPORTRANGE(""1j2lHEvOoZ_EPY086Qt7f7AFaZGVfiYKJxXlsnNfWCA0"", ""Listado Cursos!A:B""),2,FALSE))"),"")</f>
        <v/>
      </c>
      <c r="E24" s="49"/>
      <c r="F24" s="61">
        <v>10.0</v>
      </c>
      <c r="G24" s="63"/>
      <c r="H24" s="63"/>
      <c r="I24" s="49"/>
      <c r="J24" s="66">
        <v>10.0</v>
      </c>
      <c r="K24" s="68"/>
      <c r="L24" s="68"/>
    </row>
    <row r="25" ht="15.75" customHeight="1">
      <c r="B25" s="61">
        <v>11.0</v>
      </c>
      <c r="C25" s="63"/>
      <c r="D25" s="63" t="str">
        <f>IFERROR(__xludf.DUMMYFUNCTION("IF(C25="""","""",VLOOKUP(C25,IMPORTRANGE(""1j2lHEvOoZ_EPY086Qt7f7AFaZGVfiYKJxXlsnNfWCA0"", ""Listado Cursos!A:B""),2,FALSE))"),"")</f>
        <v/>
      </c>
      <c r="E25" s="49"/>
      <c r="F25" s="61">
        <v>11.0</v>
      </c>
      <c r="G25" s="63"/>
      <c r="H25" s="63"/>
      <c r="I25" s="49"/>
      <c r="J25" s="66">
        <v>11.0</v>
      </c>
      <c r="K25" s="68"/>
      <c r="L25" s="68"/>
    </row>
    <row r="26" ht="15.75" customHeight="1">
      <c r="B26" s="61">
        <v>12.0</v>
      </c>
      <c r="C26" s="65"/>
      <c r="D26" s="63" t="str">
        <f>IFERROR(__xludf.DUMMYFUNCTION("IF(C26="""","""",VLOOKUP(C26,IMPORTRANGE(""1j2lHEvOoZ_EPY086Qt7f7AFaZGVfiYKJxXlsnNfWCA0"", ""Listado Cursos!A:B""),2,FALSE))"),"")</f>
        <v/>
      </c>
      <c r="E26" s="49"/>
      <c r="F26" s="61">
        <v>12.0</v>
      </c>
      <c r="G26" s="63"/>
      <c r="H26" s="63"/>
      <c r="I26" s="49"/>
      <c r="J26" s="66">
        <v>12.0</v>
      </c>
      <c r="K26" s="68"/>
      <c r="L26" s="68"/>
    </row>
    <row r="27" ht="15.75" customHeight="1">
      <c r="B27" s="61">
        <v>13.0</v>
      </c>
      <c r="C27" s="65"/>
      <c r="D27" s="63" t="str">
        <f>IFERROR(__xludf.DUMMYFUNCTION("IF(C27="""","""",VLOOKUP(C27,IMPORTRANGE(""1j2lHEvOoZ_EPY086Qt7f7AFaZGVfiYKJxXlsnNfWCA0"", ""Listado Cursos!A:B""),2,FALSE))"),"")</f>
        <v/>
      </c>
      <c r="E27" s="49"/>
      <c r="F27" s="61">
        <v>13.0</v>
      </c>
      <c r="G27" s="63"/>
      <c r="H27" s="63"/>
      <c r="I27" s="49"/>
      <c r="J27" s="66">
        <v>13.0</v>
      </c>
      <c r="K27" s="68"/>
      <c r="L27" s="68"/>
    </row>
    <row r="28" ht="15.75" customHeight="1">
      <c r="B28" s="61">
        <v>14.0</v>
      </c>
      <c r="C28" s="65"/>
      <c r="D28" s="63" t="str">
        <f>IFERROR(__xludf.DUMMYFUNCTION("IF(C28="""","""",VLOOKUP(C28,IMPORTRANGE(""1j2lHEvOoZ_EPY086Qt7f7AFaZGVfiYKJxXlsnNfWCA0"", ""Listado Cursos!A:B""),2,FALSE))"),"")</f>
        <v/>
      </c>
      <c r="E28" s="49"/>
      <c r="F28" s="61">
        <v>14.0</v>
      </c>
      <c r="G28" s="63"/>
      <c r="H28" s="63"/>
      <c r="I28" s="49"/>
      <c r="J28" s="66">
        <v>14.0</v>
      </c>
      <c r="K28" s="68"/>
      <c r="L28" s="68"/>
    </row>
    <row r="29" ht="15.75" customHeight="1">
      <c r="B29" s="12"/>
    </row>
    <row r="30" ht="15.75" customHeight="1">
      <c r="B30" s="12"/>
    </row>
    <row r="31" ht="15.75" customHeight="1">
      <c r="B31" s="51" t="s">
        <v>60</v>
      </c>
    </row>
    <row r="32" ht="15.75" customHeight="1">
      <c r="B32" s="12"/>
    </row>
    <row r="33" ht="15.75" customHeight="1">
      <c r="B33" s="70" t="s">
        <v>53</v>
      </c>
      <c r="C33" s="71" t="s">
        <v>61</v>
      </c>
      <c r="D33" s="72" t="s">
        <v>16</v>
      </c>
      <c r="E33" s="11"/>
      <c r="F33" s="11"/>
      <c r="G33" s="11"/>
      <c r="H33" s="11"/>
      <c r="I33" s="11"/>
      <c r="J33" s="11"/>
      <c r="K33" s="13"/>
      <c r="L33" s="70" t="s">
        <v>62</v>
      </c>
    </row>
    <row r="34" ht="37.5" customHeight="1">
      <c r="B34" s="35">
        <f>IFERROR(__xludf.DUMMYFUNCTION("FILTER(METADA!D2:D17, ISEVEN(ROW(METADA!D2:D17)))"),1.0)</f>
        <v>1</v>
      </c>
      <c r="C34" s="52" t="str">
        <f>IFERROR(__xludf.DUMMYFUNCTION("FILTER(METADA!E2:E17, ISEVEN(ROW(METADA!E2:E17)))"),"Especifica")</f>
        <v>Especifica</v>
      </c>
      <c r="D34" s="15" t="str">
        <f>IFERROR(__xludf.DUMMYFUNCTION("FILTER(METADA!E2:E17, ISODD(ROW(METADA!E2:E17)))"),"Explica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E34" s="11"/>
      <c r="F34" s="11"/>
      <c r="G34" s="11"/>
      <c r="H34" s="11"/>
      <c r="I34" s="11"/>
      <c r="J34" s="11"/>
      <c r="K34" s="13"/>
      <c r="L34" s="52" t="str">
        <f>IFERROR(__xludf.DUMMYFUNCTION("FILTER(METADA!L2:L17, ISEVEN(ROW(METADA!L2:L17)))"),"Comprender")</f>
        <v>Comprender</v>
      </c>
    </row>
    <row r="35" ht="37.5" customHeight="1">
      <c r="B35" s="35">
        <f>IFERROR(__xludf.DUMMYFUNCTION("""COMPUTED_VALUE"""),2.0)</f>
        <v>2</v>
      </c>
      <c r="C35" s="52" t="str">
        <f>IFERROR(__xludf.DUMMYFUNCTION("""COMPUTED_VALUE"""),"Especifica")</f>
        <v>Especifica</v>
      </c>
      <c r="D35" s="1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E35" s="11"/>
      <c r="F35" s="11"/>
      <c r="G35" s="11"/>
      <c r="H35" s="11"/>
      <c r="I35" s="11"/>
      <c r="J35" s="11"/>
      <c r="K35" s="13"/>
      <c r="L35" s="52" t="str">
        <f>IFERROR(__xludf.DUMMYFUNCTION("""COMPUTED_VALUE"""),"Aplicar")</f>
        <v>Aplicar</v>
      </c>
    </row>
    <row r="36" ht="37.5" customHeight="1">
      <c r="B36" s="35">
        <f>IFERROR(__xludf.DUMMYFUNCTION("""COMPUTED_VALUE"""),3.0)</f>
        <v>3</v>
      </c>
      <c r="C36" s="52" t="str">
        <f>IFERROR(__xludf.DUMMYFUNCTION("""COMPUTED_VALUE"""),"Especifica")</f>
        <v>Especifica</v>
      </c>
      <c r="D36" s="15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E36" s="11"/>
      <c r="F36" s="11"/>
      <c r="G36" s="11"/>
      <c r="H36" s="11"/>
      <c r="I36" s="11"/>
      <c r="J36" s="11"/>
      <c r="K36" s="13"/>
      <c r="L36" s="52" t="str">
        <f>IFERROR(__xludf.DUMMYFUNCTION("""COMPUTED_VALUE"""),"Aplicar")</f>
        <v>Aplicar</v>
      </c>
    </row>
    <row r="37" ht="37.5" customHeight="1">
      <c r="B37" s="35">
        <f>IFERROR(__xludf.DUMMYFUNCTION("""COMPUTED_VALUE"""),4.0)</f>
        <v>4</v>
      </c>
      <c r="C37" s="52" t="str">
        <f>IFERROR(__xludf.DUMMYFUNCTION("""COMPUTED_VALUE"""),"Especifica")</f>
        <v>Especifica</v>
      </c>
      <c r="D37" s="1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E37" s="11"/>
      <c r="F37" s="11"/>
      <c r="G37" s="11"/>
      <c r="H37" s="11"/>
      <c r="I37" s="11"/>
      <c r="J37" s="11"/>
      <c r="K37" s="13"/>
      <c r="L37" s="52" t="str">
        <f>IFERROR(__xludf.DUMMYFUNCTION("""COMPUTED_VALUE"""),"Crear")</f>
        <v>Crear</v>
      </c>
    </row>
    <row r="38" ht="37.5" customHeight="1">
      <c r="B38" s="35">
        <f>IFERROR(__xludf.DUMMYFUNCTION("""COMPUTED_VALUE"""),5.0)</f>
        <v>5</v>
      </c>
      <c r="C38" s="52" t="str">
        <f>IFERROR(__xludf.DUMMYFUNCTION("""COMPUTED_VALUE"""),"Especifica")</f>
        <v>Especifica</v>
      </c>
      <c r="D38" s="15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E38" s="11"/>
      <c r="F38" s="11"/>
      <c r="G38" s="11"/>
      <c r="H38" s="11"/>
      <c r="I38" s="11"/>
      <c r="J38" s="11"/>
      <c r="K38" s="13"/>
      <c r="L38" s="52" t="str">
        <f>IFERROR(__xludf.DUMMYFUNCTION("""COMPUTED_VALUE"""),"Aplicar")</f>
        <v>Aplicar</v>
      </c>
    </row>
    <row r="39" ht="37.5" customHeight="1">
      <c r="B39" s="35">
        <f>IFERROR(__xludf.DUMMYFUNCTION("""COMPUTED_VALUE"""),6.0)</f>
        <v>6</v>
      </c>
      <c r="C39" s="52" t="str">
        <f>IFERROR(__xludf.DUMMYFUNCTION("""COMPUTED_VALUE"""),"Especifica")</f>
        <v>Especifica</v>
      </c>
      <c r="D39" s="1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E39" s="11"/>
      <c r="F39" s="11"/>
      <c r="G39" s="11"/>
      <c r="H39" s="11"/>
      <c r="I39" s="11"/>
      <c r="J39" s="11"/>
      <c r="K39" s="13"/>
      <c r="L39" s="52" t="str">
        <f>IFERROR(__xludf.DUMMYFUNCTION("""COMPUTED_VALUE"""),"Aplicar")</f>
        <v>Aplicar</v>
      </c>
    </row>
    <row r="40" ht="37.5" customHeight="1">
      <c r="B40" s="35">
        <f>IFERROR(__xludf.DUMMYFUNCTION("""COMPUTED_VALUE"""),7.0)</f>
        <v>7</v>
      </c>
      <c r="C40" s="52" t="str">
        <f>IFERROR(__xludf.DUMMYFUNCTION("""COMPUTED_VALUE"""),"General")</f>
        <v>General</v>
      </c>
      <c r="D40" s="10" t="str">
        <f>IFERROR(__xludf.DUMMYFUNCTION("""COMPUTED_VALUE"""),"Aplica principios básicos de ingeniería a través de conceptos de Cloud Computing para el desarrollo de aplicaciones básicas ")</f>
        <v>Aplica principios básicos de ingeniería a través de conceptos de Cloud Computing para el desarrollo de aplicaciones básicas </v>
      </c>
      <c r="E40" s="11"/>
      <c r="F40" s="11"/>
      <c r="G40" s="11"/>
      <c r="H40" s="11"/>
      <c r="I40" s="11"/>
      <c r="J40" s="11"/>
      <c r="K40" s="13"/>
      <c r="L40" s="52" t="str">
        <f>IFERROR(__xludf.DUMMYFUNCTION("""COMPUTED_VALUE"""),"Aplicar")</f>
        <v>Aplicar</v>
      </c>
    </row>
    <row r="41" ht="15.75" customHeight="1">
      <c r="B41" s="12"/>
      <c r="C41" s="37"/>
      <c r="D41" s="37"/>
      <c r="L41" s="37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3" t="s">
        <v>0</v>
      </c>
    </row>
    <row r="2" ht="15.75" customHeight="1"/>
    <row r="3" ht="15.75" customHeight="1">
      <c r="B3" s="8" t="s">
        <v>4</v>
      </c>
      <c r="C3" s="10" t="str">
        <f>Competencias_actuales!F3</f>
        <v>Seminario de Sistemas 1</v>
      </c>
      <c r="D3" s="11"/>
      <c r="E3" s="11"/>
      <c r="F3" s="11"/>
      <c r="G3" s="13"/>
    </row>
    <row r="4" ht="15.75" customHeight="1">
      <c r="B4" s="8" t="s">
        <v>6</v>
      </c>
      <c r="C4" s="16">
        <v>797.0</v>
      </c>
      <c r="D4" s="11"/>
      <c r="E4" s="11"/>
      <c r="F4" s="11"/>
      <c r="G4" s="13"/>
    </row>
    <row r="5" ht="15.75" customHeight="1"/>
    <row r="6" ht="15.75" customHeight="1">
      <c r="B6" s="19" t="s">
        <v>7</v>
      </c>
    </row>
    <row r="7" ht="15.75" customHeight="1">
      <c r="B7" s="20" t="s">
        <v>8</v>
      </c>
    </row>
    <row r="8" ht="15.75" customHeight="1">
      <c r="B8" s="12"/>
      <c r="I8" s="22"/>
    </row>
    <row r="9" ht="15.75" customHeight="1">
      <c r="B9" s="23" t="s">
        <v>9</v>
      </c>
      <c r="C9" s="16" t="s">
        <v>10</v>
      </c>
      <c r="D9" s="11"/>
      <c r="E9" s="11"/>
      <c r="F9" s="11"/>
      <c r="G9" s="13"/>
    </row>
    <row r="10" ht="15.75" customHeight="1">
      <c r="B10" s="23" t="s">
        <v>4</v>
      </c>
      <c r="C10" s="24" t="s">
        <v>11</v>
      </c>
      <c r="D10" s="25"/>
      <c r="E10" s="25"/>
      <c r="F10" s="25"/>
      <c r="G10" s="27"/>
    </row>
    <row r="11" ht="15.75" customHeight="1">
      <c r="B11" s="23" t="s">
        <v>13</v>
      </c>
      <c r="C11" s="38" t="s">
        <v>18</v>
      </c>
      <c r="D11" s="11"/>
      <c r="E11" s="11"/>
      <c r="F11" s="11"/>
      <c r="G11" s="13"/>
    </row>
    <row r="12" ht="15.75" customHeight="1"/>
    <row r="13" ht="15.75" customHeight="1">
      <c r="B13" s="40" t="s">
        <v>31</v>
      </c>
      <c r="C13" s="11"/>
      <c r="D13" s="11"/>
      <c r="E13" s="11"/>
      <c r="F13" s="11"/>
      <c r="G13" s="13"/>
    </row>
    <row r="14" ht="15.75" customHeight="1">
      <c r="B14" s="42" t="s">
        <v>32</v>
      </c>
      <c r="C14" s="43"/>
      <c r="D14" s="43"/>
      <c r="E14" s="43"/>
      <c r="F14" s="43"/>
      <c r="G14" s="44"/>
    </row>
    <row r="15" ht="15.75" customHeight="1">
      <c r="B15" s="46"/>
      <c r="C15" s="47"/>
      <c r="D15" s="47"/>
      <c r="E15" s="47"/>
      <c r="F15" s="47"/>
      <c r="G15" s="48"/>
    </row>
    <row r="16" ht="15.75" customHeight="1"/>
    <row r="17" ht="15.75" customHeight="1">
      <c r="B17" s="40" t="s">
        <v>35</v>
      </c>
      <c r="C17" s="11"/>
      <c r="D17" s="11"/>
      <c r="E17" s="11"/>
      <c r="F17" s="11"/>
      <c r="G17" s="13"/>
    </row>
    <row r="18" ht="15.75" customHeight="1">
      <c r="B18" s="42" t="s">
        <v>36</v>
      </c>
      <c r="C18" s="43"/>
      <c r="D18" s="43"/>
      <c r="E18" s="43"/>
      <c r="F18" s="43"/>
      <c r="G18" s="44"/>
    </row>
    <row r="19" ht="15.75" customHeight="1">
      <c r="B19" s="46"/>
      <c r="C19" s="47"/>
      <c r="D19" s="47"/>
      <c r="E19" s="47"/>
      <c r="F19" s="47"/>
      <c r="G19" s="48"/>
    </row>
    <row r="20" ht="15.75" customHeight="1"/>
    <row r="21" ht="15.75" customHeight="1">
      <c r="B21" s="40" t="s">
        <v>37</v>
      </c>
      <c r="C21" s="11"/>
      <c r="D21" s="11"/>
      <c r="E21" s="11"/>
      <c r="F21" s="11"/>
      <c r="G21" s="13"/>
    </row>
    <row r="22" ht="15.75" customHeight="1">
      <c r="B22" s="42" t="s">
        <v>39</v>
      </c>
      <c r="C22" s="43"/>
      <c r="D22" s="43"/>
      <c r="E22" s="43"/>
      <c r="F22" s="43"/>
      <c r="G22" s="44"/>
    </row>
    <row r="23" ht="15.75" customHeight="1">
      <c r="B23" s="46"/>
      <c r="C23" s="47"/>
      <c r="D23" s="47"/>
      <c r="E23" s="47"/>
      <c r="F23" s="47"/>
      <c r="G23" s="48"/>
    </row>
    <row r="24" ht="15.75" customHeight="1"/>
    <row r="25" ht="15.75" customHeight="1"/>
    <row r="26" ht="15.75" customHeight="1">
      <c r="B26" s="19" t="s">
        <v>40</v>
      </c>
    </row>
    <row r="27" ht="15.75" customHeight="1">
      <c r="B27" s="20" t="s">
        <v>41</v>
      </c>
    </row>
    <row r="28" ht="15.75" customHeight="1"/>
    <row r="29" ht="15.75" customHeight="1">
      <c r="B29" s="23" t="s">
        <v>42</v>
      </c>
      <c r="C29" s="16" t="s">
        <v>43</v>
      </c>
      <c r="D29" s="11"/>
      <c r="E29" s="11"/>
      <c r="F29" s="11"/>
      <c r="G29" s="13"/>
    </row>
    <row r="30" ht="15.75" customHeight="1">
      <c r="B30" s="23" t="s">
        <v>45</v>
      </c>
      <c r="C30" s="16" t="s">
        <v>46</v>
      </c>
      <c r="D30" s="11"/>
      <c r="E30" s="11"/>
      <c r="F30" s="11"/>
      <c r="G30" s="13"/>
    </row>
    <row r="31" ht="15.75" customHeight="1">
      <c r="B31" s="23" t="s">
        <v>47</v>
      </c>
      <c r="C31" s="56" t="s">
        <v>48</v>
      </c>
      <c r="D31" s="11"/>
      <c r="E31" s="11"/>
      <c r="F31" s="11"/>
      <c r="G31" s="13"/>
    </row>
    <row r="32" ht="15.75" customHeight="1"/>
    <row r="33" ht="15.75" customHeight="1">
      <c r="B33" s="40" t="s">
        <v>55</v>
      </c>
      <c r="C33" s="11"/>
      <c r="D33" s="11"/>
      <c r="E33" s="11"/>
      <c r="F33" s="11"/>
      <c r="G33" s="13"/>
    </row>
    <row r="34" ht="15.75" customHeight="1">
      <c r="B34" s="42" t="s">
        <v>57</v>
      </c>
      <c r="C34" s="43"/>
      <c r="D34" s="43"/>
      <c r="E34" s="43"/>
      <c r="F34" s="43"/>
      <c r="G34" s="44"/>
    </row>
    <row r="35" ht="48.0" customHeight="1">
      <c r="B35" s="46"/>
      <c r="C35" s="47"/>
      <c r="D35" s="47"/>
      <c r="E35" s="47"/>
      <c r="F35" s="47"/>
      <c r="G35" s="48"/>
    </row>
    <row r="36" ht="15.75" customHeight="1"/>
    <row r="37" ht="15.75" customHeight="1">
      <c r="B37" s="23" t="s">
        <v>42</v>
      </c>
      <c r="C37" s="16" t="s">
        <v>43</v>
      </c>
      <c r="D37" s="11"/>
      <c r="E37" s="11"/>
      <c r="F37" s="11"/>
      <c r="G37" s="13"/>
    </row>
    <row r="38" ht="15.75" customHeight="1">
      <c r="B38" s="23" t="s">
        <v>45</v>
      </c>
      <c r="C38" s="16" t="s">
        <v>46</v>
      </c>
      <c r="D38" s="11"/>
      <c r="E38" s="11"/>
      <c r="F38" s="11"/>
      <c r="G38" s="13"/>
    </row>
    <row r="39" ht="15.75" customHeight="1">
      <c r="B39" s="23" t="s">
        <v>47</v>
      </c>
      <c r="C39" s="56" t="s">
        <v>58</v>
      </c>
      <c r="D39" s="11"/>
      <c r="E39" s="11"/>
      <c r="F39" s="11"/>
      <c r="G39" s="13"/>
    </row>
    <row r="40" ht="15.75" customHeight="1"/>
    <row r="41" ht="15.75" customHeight="1">
      <c r="B41" s="40" t="s">
        <v>55</v>
      </c>
      <c r="C41" s="11"/>
      <c r="D41" s="11"/>
      <c r="E41" s="11"/>
      <c r="F41" s="11"/>
      <c r="G41" s="13"/>
    </row>
    <row r="42" ht="15.75" customHeight="1">
      <c r="B42" s="42" t="s">
        <v>59</v>
      </c>
      <c r="C42" s="43"/>
      <c r="D42" s="43"/>
      <c r="E42" s="43"/>
      <c r="F42" s="43"/>
      <c r="G42" s="44"/>
    </row>
    <row r="43" ht="49.5" customHeight="1">
      <c r="B43" s="46"/>
      <c r="C43" s="47"/>
      <c r="D43" s="47"/>
      <c r="E43" s="47"/>
      <c r="F43" s="47"/>
      <c r="G43" s="4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G1"/>
    <mergeCell ref="C3:G3"/>
    <mergeCell ref="C4:G4"/>
    <mergeCell ref="B7:G7"/>
    <mergeCell ref="C9:G9"/>
    <mergeCell ref="C11:G11"/>
    <mergeCell ref="B13:G13"/>
    <mergeCell ref="B14:G15"/>
    <mergeCell ref="B17:G17"/>
    <mergeCell ref="B18:G19"/>
    <mergeCell ref="B21:G21"/>
    <mergeCell ref="B22:G23"/>
    <mergeCell ref="B27:G27"/>
    <mergeCell ref="C29:G29"/>
    <mergeCell ref="B41:G41"/>
    <mergeCell ref="B42:G43"/>
    <mergeCell ref="C30:G30"/>
    <mergeCell ref="C31:G31"/>
    <mergeCell ref="B33:G33"/>
    <mergeCell ref="B34:G35"/>
    <mergeCell ref="C37:G37"/>
    <mergeCell ref="C38:G38"/>
    <mergeCell ref="C39:G39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2" t="s">
        <v>1</v>
      </c>
    </row>
    <row r="2" ht="15.75" customHeight="1">
      <c r="A2" s="9" t="str">
        <f>C4&amp;" - "&amp;C3</f>
        <v>797 - Seminario de Sistemas 1</v>
      </c>
      <c r="B2" s="6"/>
      <c r="C2" s="6"/>
      <c r="D2" s="6"/>
      <c r="E2" s="6"/>
    </row>
    <row r="3" ht="15.75" customHeight="1">
      <c r="B3" s="8" t="s">
        <v>4</v>
      </c>
      <c r="C3" s="15" t="str">
        <f>Competencias_actuales!F3</f>
        <v>Seminario de Sistemas 1</v>
      </c>
      <c r="D3" s="11"/>
      <c r="E3" s="11"/>
      <c r="F3" s="11"/>
      <c r="G3" s="13"/>
    </row>
    <row r="4" ht="15.75" customHeight="1">
      <c r="B4" s="8" t="s">
        <v>6</v>
      </c>
      <c r="C4" s="15">
        <f>Competencias_actuales!A2</f>
        <v>797</v>
      </c>
      <c r="D4" s="11"/>
      <c r="E4" s="11"/>
      <c r="F4" s="11"/>
      <c r="G4" s="13"/>
    </row>
    <row r="5" ht="15.75" customHeight="1">
      <c r="B5" s="6"/>
      <c r="C5" s="6"/>
      <c r="D5" s="6"/>
      <c r="E5" s="6"/>
    </row>
    <row r="6" ht="15.75" customHeight="1">
      <c r="B6" s="26" t="s">
        <v>12</v>
      </c>
      <c r="C6" s="11"/>
      <c r="D6" s="11"/>
      <c r="E6" s="13"/>
      <c r="F6" s="23" t="s">
        <v>14</v>
      </c>
      <c r="G6" s="23" t="s">
        <v>15</v>
      </c>
    </row>
    <row r="7" ht="15.75" customHeight="1">
      <c r="B7" s="23" t="s">
        <v>16</v>
      </c>
      <c r="C7" s="23" t="s">
        <v>17</v>
      </c>
      <c r="D7" s="23" t="s">
        <v>19</v>
      </c>
      <c r="E7" s="23" t="s">
        <v>20</v>
      </c>
      <c r="F7" s="23" t="s">
        <v>21</v>
      </c>
      <c r="G7" s="23" t="s">
        <v>21</v>
      </c>
    </row>
    <row r="8" ht="15.75" customHeight="1">
      <c r="B8" s="35" t="str">
        <f>IFERROR(__xludf.DUMMYFUNCTION("QUERY(IMPORTRANGE(VLOOKUP(A2,METADA!A:B,2,FALSE), ""Diseño Curricular!B4:E500""), )"),"Explica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8" s="35" t="str">
        <f>IFERROR(__xludf.DUMMYFUNCTION("""COMPUTED_VALUE"""),"1 - Conceptos Fundamentales de la Computación en la Nube")</f>
        <v>1 - Conceptos Fundamentales de la Computación en la Nube</v>
      </c>
      <c r="D8" s="35" t="str">
        <f>IFERROR(__xludf.DUMMYFUNCTION("""COMPUTED_VALUE"""),"Introducción a Cloud Computing.")</f>
        <v>Introducción a Cloud Computing.</v>
      </c>
      <c r="E8" s="35" t="str">
        <f>IFERROR(__xludf.DUMMYFUNCTION("""COMPUTED_VALUE"""),"Definición y beneficios.")</f>
        <v>Definición y beneficios.</v>
      </c>
      <c r="F8" s="39" t="s">
        <v>29</v>
      </c>
      <c r="G8" s="39" t="s">
        <v>30</v>
      </c>
    </row>
    <row r="9" ht="15.75" customHeight="1">
      <c r="B9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9" s="35" t="str">
        <f>IFERROR(__xludf.DUMMYFUNCTION("""COMPUTED_VALUE"""),"1 - Conceptos Fundamentales de la Computación en la Nube")</f>
        <v>1 - Conceptos Fundamentales de la Computación en la Nube</v>
      </c>
      <c r="D9" s="35" t="str">
        <f>IFERROR(__xludf.DUMMYFUNCTION("""COMPUTED_VALUE"""),"Introducción a Cloud Computing.")</f>
        <v>Introducción a Cloud Computing.</v>
      </c>
      <c r="E9" s="35" t="str">
        <f>IFERROR(__xludf.DUMMYFUNCTION("""COMPUTED_VALUE"""),"Modelos de servicios (IaaS, PaaS, SaaS).")</f>
        <v>Modelos de servicios (IaaS, PaaS, SaaS).</v>
      </c>
      <c r="F9" s="39" t="s">
        <v>33</v>
      </c>
      <c r="G9" s="39" t="s">
        <v>33</v>
      </c>
    </row>
    <row r="10" ht="15.75" customHeight="1">
      <c r="B10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0" s="35" t="str">
        <f>IFERROR(__xludf.DUMMYFUNCTION("""COMPUTED_VALUE"""),"1 - Conceptos Fundamentales de la Computación en la Nube")</f>
        <v>1 - Conceptos Fundamentales de la Computación en la Nube</v>
      </c>
      <c r="D10" s="35" t="str">
        <f>IFERROR(__xludf.DUMMYFUNCTION("""COMPUTED_VALUE"""),"Introducción a Cloud Computing.")</f>
        <v>Introducción a Cloud Computing.</v>
      </c>
      <c r="E10" s="35" t="str">
        <f>IFERROR(__xludf.DUMMYFUNCTION("""COMPUTED_VALUE"""),"Introducción a los principales proveedores: Google Cloud y Microsoft Azure.")</f>
        <v>Introducción a los principales proveedores: Google Cloud y Microsoft Azure.</v>
      </c>
      <c r="F10" s="39" t="s">
        <v>33</v>
      </c>
      <c r="G10" s="39" t="s">
        <v>33</v>
      </c>
    </row>
    <row r="11" ht="15.75" customHeight="1">
      <c r="B11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1" s="35" t="str">
        <f>IFERROR(__xludf.DUMMYFUNCTION("""COMPUTED_VALUE"""),"2 - Servicios clave de proveedores Cloud")</f>
        <v>2 - Servicios clave de proveedores Cloud</v>
      </c>
      <c r="D11" s="35" t="str">
        <f>IFERROR(__xludf.DUMMYFUNCTION("""COMPUTED_VALUE"""),"Servicios clave de Google Cloud")</f>
        <v>Servicios clave de Google Cloud</v>
      </c>
      <c r="E11" s="35" t="str">
        <f>IFERROR(__xludf.DUMMYFUNCTION("""COMPUTED_VALUE"""),"Servicios de cómputo, almacenamiento y red en Google Cloud.")</f>
        <v>Servicios de cómputo, almacenamiento y red en Google Cloud.</v>
      </c>
      <c r="F11" s="39" t="s">
        <v>33</v>
      </c>
      <c r="G11" s="39" t="s">
        <v>33</v>
      </c>
    </row>
    <row r="12" ht="15.75" customHeight="1">
      <c r="B12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2" s="35" t="str">
        <f>IFERROR(__xludf.DUMMYFUNCTION("""COMPUTED_VALUE"""),"2 - Servicios clave de proveedores Cloud")</f>
        <v>2 - Servicios clave de proveedores Cloud</v>
      </c>
      <c r="D12" s="35" t="str">
        <f>IFERROR(__xludf.DUMMYFUNCTION("""COMPUTED_VALUE"""),"Servicios clave de Google Cloud")</f>
        <v>Servicios clave de Google Cloud</v>
      </c>
      <c r="E12" s="35" t="str">
        <f>IFERROR(__xludf.DUMMYFUNCTION("""COMPUTED_VALUE"""),"Casos de uso de Google Cloud.")</f>
        <v>Casos de uso de Google Cloud.</v>
      </c>
      <c r="F12" s="39" t="s">
        <v>33</v>
      </c>
      <c r="G12" s="39" t="s">
        <v>33</v>
      </c>
    </row>
    <row r="13" ht="15.75" customHeight="1">
      <c r="B13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3" s="35" t="str">
        <f>IFERROR(__xludf.DUMMYFUNCTION("""COMPUTED_VALUE"""),"2 - Servicios clave de proveedores Cloud")</f>
        <v>2 - Servicios clave de proveedores Cloud</v>
      </c>
      <c r="D13" s="35" t="str">
        <f>IFERROR(__xludf.DUMMYFUNCTION("""COMPUTED_VALUE"""),"Servicios clave de Microsoft Azure.")</f>
        <v>Servicios clave de Microsoft Azure.</v>
      </c>
      <c r="E13" s="35" t="str">
        <f>IFERROR(__xludf.DUMMYFUNCTION("""COMPUTED_VALUE"""),"Servicios de cómputo, almacenamiento y red en Azure.")</f>
        <v>Servicios de cómputo, almacenamiento y red en Azure.</v>
      </c>
      <c r="F13" s="52"/>
      <c r="G13" s="39" t="s">
        <v>33</v>
      </c>
    </row>
    <row r="14" ht="15.75" customHeight="1">
      <c r="B14" s="35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4" s="35" t="str">
        <f>IFERROR(__xludf.DUMMYFUNCTION("""COMPUTED_VALUE"""),"2 - Servicios clave de proveedores Cloud")</f>
        <v>2 - Servicios clave de proveedores Cloud</v>
      </c>
      <c r="D14" s="35" t="str">
        <f>IFERROR(__xludf.DUMMYFUNCTION("""COMPUTED_VALUE"""),"Servicios clave de Microsoft Azure.")</f>
        <v>Servicios clave de Microsoft Azure.</v>
      </c>
      <c r="E14" s="35" t="str">
        <f>IFERROR(__xludf.DUMMYFUNCTION("""COMPUTED_VALUE"""),"Casos de uso de Azure.")</f>
        <v>Casos de uso de Azure.</v>
      </c>
      <c r="F14" s="39" t="s">
        <v>33</v>
      </c>
      <c r="G14" s="39" t="s">
        <v>33</v>
      </c>
    </row>
    <row r="15" ht="15.75" customHeight="1">
      <c r="B15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5" s="35" t="str">
        <f>IFERROR(__xludf.DUMMYFUNCTION("""COMPUTED_VALUE"""),"3 - Configuración y Gestión de Identidades y Accesos en Cloud")</f>
        <v>3 - Configuración y Gestión de Identidades y Accesos en Cloud</v>
      </c>
      <c r="D15" s="35" t="str">
        <f>IFERROR(__xludf.DUMMYFUNCTION("""COMPUTED_VALUE"""),"Usuarios y permisos en AWS.")</f>
        <v>Usuarios y permisos en AWS.</v>
      </c>
      <c r="E15" s="35" t="str">
        <f>IFERROR(__xludf.DUMMYFUNCTION("""COMPUTED_VALUE"""),"Grupos, Usuarios y Roles: Gestión de accesos y permisos.")</f>
        <v>Grupos, Usuarios y Roles: Gestión de accesos y permisos.</v>
      </c>
      <c r="F15" s="39" t="s">
        <v>33</v>
      </c>
      <c r="G15" s="39" t="s">
        <v>33</v>
      </c>
    </row>
    <row r="16" ht="15.75" customHeight="1">
      <c r="B16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6" s="35" t="str">
        <f>IFERROR(__xludf.DUMMYFUNCTION("""COMPUTED_VALUE"""),"3 - Configuración y Gestión de Identidades y Accesos en Cloud")</f>
        <v>3 - Configuración y Gestión de Identidades y Accesos en Cloud</v>
      </c>
      <c r="D16" s="35" t="str">
        <f>IFERROR(__xludf.DUMMYFUNCTION("""COMPUTED_VALUE"""),"Usuarios y permisos en AWS.")</f>
        <v>Usuarios y permisos en AWS.</v>
      </c>
      <c r="E16" s="35" t="str">
        <f>IFERROR(__xludf.DUMMYFUNCTION("""COMPUTED_VALUE"""),"Políticas: Configuración de políticas de seguridad.")</f>
        <v>Políticas: Configuración de políticas de seguridad.</v>
      </c>
      <c r="F16" s="39" t="s">
        <v>33</v>
      </c>
      <c r="G16" s="39" t="s">
        <v>33</v>
      </c>
    </row>
    <row r="17" ht="15.75" customHeight="1">
      <c r="B17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7" s="35" t="str">
        <f>IFERROR(__xludf.DUMMYFUNCTION("""COMPUTED_VALUE"""),"3 - Configuración y Gestión de Identidades y Accesos en Cloud")</f>
        <v>3 - Configuración y Gestión de Identidades y Accesos en Cloud</v>
      </c>
      <c r="D17" s="35" t="str">
        <f>IFERROR(__xludf.DUMMYFUNCTION("""COMPUTED_VALUE"""),"Creación y configuración de instancias.")</f>
        <v>Creación y configuración de instancias.</v>
      </c>
      <c r="E17" s="35" t="str">
        <f>IFERROR(__xludf.DUMMYFUNCTION("""COMPUTED_VALUE"""),"Instancias en AWS, Azure y Google Cloud.")</f>
        <v>Instancias en AWS, Azure y Google Cloud.</v>
      </c>
      <c r="F17" s="39" t="s">
        <v>33</v>
      </c>
      <c r="G17" s="39" t="s">
        <v>33</v>
      </c>
    </row>
    <row r="18" ht="15.75" customHeight="1">
      <c r="B18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8" s="35" t="str">
        <f>IFERROR(__xludf.DUMMYFUNCTION("""COMPUTED_VALUE"""),"3 - Configuración y Gestión de Identidades y Accesos en Cloud")</f>
        <v>3 - Configuración y Gestión de Identidades y Accesos en Cloud</v>
      </c>
      <c r="D18" s="35" t="str">
        <f>IFERROR(__xludf.DUMMYFUNCTION("""COMPUTED_VALUE"""),"Creación y configuración de instancias.")</f>
        <v>Creación y configuración de instancias.</v>
      </c>
      <c r="E18" s="35" t="str">
        <f>IFERROR(__xludf.DUMMYFUNCTION("""COMPUTED_VALUE"""),"Configuración básica de las instancias.")</f>
        <v>Configuración básica de las instancias.</v>
      </c>
      <c r="F18" s="39" t="s">
        <v>33</v>
      </c>
      <c r="G18" s="39" t="s">
        <v>33</v>
      </c>
    </row>
    <row r="19" ht="15.75" customHeight="1">
      <c r="B19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9" s="35" t="str">
        <f>IFERROR(__xludf.DUMMYFUNCTION("""COMPUTED_VALUE"""),"3 - Configuración y Gestión de Identidades y Accesos en Cloud")</f>
        <v>3 - Configuración y Gestión de Identidades y Accesos en Cloud</v>
      </c>
      <c r="D19" s="35" t="str">
        <f>IFERROR(__xludf.DUMMYFUNCTION("""COMPUTED_VALUE"""),"Amazon EC2.")</f>
        <v>Amazon EC2.</v>
      </c>
      <c r="E19" s="35" t="str">
        <f>IFERROR(__xludf.DUMMYFUNCTION("""COMPUTED_VALUE"""),"Security Groups: Configuración de reglas de firewall.")</f>
        <v>Security Groups: Configuración de reglas de firewall.</v>
      </c>
      <c r="F19" s="39" t="s">
        <v>33</v>
      </c>
      <c r="G19" s="39" t="s">
        <v>33</v>
      </c>
    </row>
    <row r="20" ht="15.75" customHeight="1">
      <c r="B20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0" s="35" t="str">
        <f>IFERROR(__xludf.DUMMYFUNCTION("""COMPUTED_VALUE"""),"3 - Configuración y Gestión de Identidades y Accesos en Cloud")</f>
        <v>3 - Configuración y Gestión de Identidades y Accesos en Cloud</v>
      </c>
      <c r="D20" s="35" t="str">
        <f>IFERROR(__xludf.DUMMYFUNCTION("""COMPUTED_VALUE"""),"Amazon EC2.")</f>
        <v>Amazon EC2.</v>
      </c>
      <c r="E20" s="35" t="str">
        <f>IFERROR(__xludf.DUMMYFUNCTION("""COMPUTED_VALUE"""),"Key Pairs: Autenticación de instancias.")</f>
        <v>Key Pairs: Autenticación de instancias.</v>
      </c>
      <c r="F20" s="39" t="s">
        <v>33</v>
      </c>
      <c r="G20" s="39" t="s">
        <v>33</v>
      </c>
    </row>
    <row r="21" ht="15.75" customHeight="1">
      <c r="B21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1" s="35" t="str">
        <f>IFERROR(__xludf.DUMMYFUNCTION("""COMPUTED_VALUE"""),"3 - Configuración y Gestión de Identidades y Accesos en Cloud")</f>
        <v>3 - Configuración y Gestión de Identidades y Accesos en Cloud</v>
      </c>
      <c r="D21" s="35" t="str">
        <f>IFERROR(__xludf.DUMMYFUNCTION("""COMPUTED_VALUE"""),"Amazon EC2.")</f>
        <v>Amazon EC2.</v>
      </c>
      <c r="E21" s="35" t="str">
        <f>IFERROR(__xludf.DUMMYFUNCTION("""COMPUTED_VALUE"""),"AMI: Imágenes de máquinas Amazon.")</f>
        <v>AMI: Imágenes de máquinas Amazon.</v>
      </c>
      <c r="F21" s="39" t="s">
        <v>33</v>
      </c>
      <c r="G21" s="39" t="s">
        <v>33</v>
      </c>
    </row>
    <row r="22" ht="15.75" customHeight="1">
      <c r="B22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2" s="35" t="str">
        <f>IFERROR(__xludf.DUMMYFUNCTION("""COMPUTED_VALUE"""),"4 - Configuración e Implementación de Máquinas Virtuales en la nube")</f>
        <v>4 - Configuración e Implementación de Máquinas Virtuales en la nube</v>
      </c>
      <c r="D22" s="35" t="str">
        <f>IFERROR(__xludf.DUMMYFUNCTION("""COMPUTED_VALUE"""),"Amazon EC2.")</f>
        <v>Amazon EC2.</v>
      </c>
      <c r="E22" s="35" t="str">
        <f>IFERROR(__xludf.DUMMYFUNCTION("""COMPUTED_VALUE"""),"Elastic IP y Elastic Load Balancing.")</f>
        <v>Elastic IP y Elastic Load Balancing.</v>
      </c>
      <c r="F22" s="39" t="s">
        <v>33</v>
      </c>
      <c r="G22" s="39" t="s">
        <v>33</v>
      </c>
    </row>
    <row r="23" ht="15.75" customHeight="1">
      <c r="B23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3" s="35" t="str">
        <f>IFERROR(__xludf.DUMMYFUNCTION("""COMPUTED_VALUE"""),"5 - Configuración e Implementación de Bases de datos en Cloud Computing")</f>
        <v>5 - Configuración e Implementación de Bases de datos en Cloud Computing</v>
      </c>
      <c r="D23" s="35" t="str">
        <f>IFERROR(__xludf.DUMMYFUNCTION("""COMPUTED_VALUE"""),"Bases de datos en AWS y Azure.")</f>
        <v>Bases de datos en AWS y Azure.</v>
      </c>
      <c r="E23" s="35" t="str">
        <f>IFERROR(__xludf.DUMMYFUNCTION("""COMPUTED_VALUE"""),"Amazon RDS: Configuración y administración.")</f>
        <v>Amazon RDS: Configuración y administración.</v>
      </c>
      <c r="F23" s="39" t="s">
        <v>33</v>
      </c>
      <c r="G23" s="39" t="s">
        <v>33</v>
      </c>
    </row>
    <row r="24" ht="15.75" customHeight="1">
      <c r="B24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4" s="35" t="str">
        <f>IFERROR(__xludf.DUMMYFUNCTION("""COMPUTED_VALUE"""),"5 - Configuración e Implementación de Bases de datos en Cloud Computing")</f>
        <v>5 - Configuración e Implementación de Bases de datos en Cloud Computing</v>
      </c>
      <c r="D24" s="35" t="str">
        <f>IFERROR(__xludf.DUMMYFUNCTION("""COMPUTED_VALUE"""),"Bases de datos en AWS y Azure.")</f>
        <v>Bases de datos en AWS y Azure.</v>
      </c>
      <c r="E24" s="35" t="str">
        <f>IFERROR(__xludf.DUMMYFUNCTION("""COMPUTED_VALUE"""),"Azure SQL: Servicios de bases de datos en Azure.")</f>
        <v>Azure SQL: Servicios de bases de datos en Azure.</v>
      </c>
      <c r="F24" s="39" t="s">
        <v>33</v>
      </c>
      <c r="G24" s="39" t="s">
        <v>33</v>
      </c>
    </row>
    <row r="25" ht="15.75" customHeight="1">
      <c r="B25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5" s="35" t="str">
        <f>IFERROR(__xludf.DUMMYFUNCTION("""COMPUTED_VALUE"""),"6 - Servicios de Almcaenamiento de Objetos en Cloud")</f>
        <v>6 - Servicios de Almcaenamiento de Objetos en Cloud</v>
      </c>
      <c r="D25" s="35" t="str">
        <f>IFERROR(__xludf.DUMMYFUNCTION("""COMPUTED_VALUE"""),"Servicios de almacenamiento.")</f>
        <v>Servicios de almacenamiento.</v>
      </c>
      <c r="E25" s="35" t="str">
        <f>IFERROR(__xludf.DUMMYFUNCTION("""COMPUTED_VALUE"""),"Azure Storage: Tipos y usos.")</f>
        <v>Azure Storage: Tipos y usos.</v>
      </c>
      <c r="F25" s="39" t="s">
        <v>33</v>
      </c>
      <c r="G25" s="39" t="s">
        <v>33</v>
      </c>
    </row>
    <row r="26" ht="15.75" customHeight="1">
      <c r="B26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6" s="35" t="str">
        <f>IFERROR(__xludf.DUMMYFUNCTION("""COMPUTED_VALUE"""),"6 - Servicios de Almcaenamiento de Objetos en Cloud")</f>
        <v>6 - Servicios de Almcaenamiento de Objetos en Cloud</v>
      </c>
      <c r="D26" s="35" t="str">
        <f>IFERROR(__xludf.DUMMYFUNCTION("""COMPUTED_VALUE"""),"Servicios de almacenamiento.")</f>
        <v>Servicios de almacenamiento.</v>
      </c>
      <c r="E26" s="35" t="str">
        <f>IFERROR(__xludf.DUMMYFUNCTION("""COMPUTED_VALUE"""),"Amazon S3: Almacenamiento de objetos y accesos.")</f>
        <v>Amazon S3: Almacenamiento de objetos y accesos.</v>
      </c>
      <c r="F26" s="39" t="s">
        <v>33</v>
      </c>
      <c r="G26" s="39" t="s">
        <v>33</v>
      </c>
    </row>
    <row r="27" ht="15.75" customHeight="1">
      <c r="B27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7" s="35" t="str">
        <f>IFERROR(__xludf.DUMMYFUNCTION("""COMPUTED_VALUE"""),"6 - Servicios de Almcaenamiento de Objetos en Cloud")</f>
        <v>6 - Servicios de Almcaenamiento de Objetos en Cloud</v>
      </c>
      <c r="D27" s="35" t="str">
        <f>IFERROR(__xludf.DUMMYFUNCTION("""COMPUTED_VALUE"""),"Servicios de almacenamiento.")</f>
        <v>Servicios de almacenamiento.</v>
      </c>
      <c r="E27" s="35" t="str">
        <f>IFERROR(__xludf.DUMMYFUNCTION("""COMPUTED_VALUE"""),"Alojamiento de sitios web estáticos en Amazon S3.")</f>
        <v>Alojamiento de sitios web estáticos en Amazon S3.</v>
      </c>
      <c r="F27" s="39" t="s">
        <v>33</v>
      </c>
      <c r="G27" s="39" t="s">
        <v>33</v>
      </c>
    </row>
    <row r="28" ht="15.75" customHeight="1">
      <c r="B28" s="35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8" s="35" t="str">
        <f>IFERROR(__xludf.DUMMYFUNCTION("""COMPUTED_VALUE"""),"7 - Configuración de Arquitecturas Serverless")</f>
        <v>7 - Configuración de Arquitecturas Serverless</v>
      </c>
      <c r="D28" s="35" t="str">
        <f>IFERROR(__xludf.DUMMYFUNCTION("""COMPUTED_VALUE"""),"Serverless en AWS y Azure.")</f>
        <v>Serverless en AWS y Azure.</v>
      </c>
      <c r="E28" s="35" t="str">
        <f>IFERROR(__xludf.DUMMYFUNCTION("""COMPUTED_VALUE"""),"AWS Lambda: Ejecución de código sin servidores.")</f>
        <v>AWS Lambda: Ejecución de código sin servidores.</v>
      </c>
      <c r="F28" s="39" t="s">
        <v>33</v>
      </c>
      <c r="G28" s="39" t="s">
        <v>33</v>
      </c>
    </row>
    <row r="29" ht="15.75" customHeight="1">
      <c r="B29" s="35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9" s="35" t="str">
        <f>IFERROR(__xludf.DUMMYFUNCTION("""COMPUTED_VALUE"""),"7 - Configuración de Arquitecturas Serverless")</f>
        <v>7 - Configuración de Arquitecturas Serverless</v>
      </c>
      <c r="D29" s="35" t="str">
        <f>IFERROR(__xludf.DUMMYFUNCTION("""COMPUTED_VALUE"""),"Serverless en AWS y Azure.")</f>
        <v>Serverless en AWS y Azure.</v>
      </c>
      <c r="E29" s="35" t="str">
        <f>IFERROR(__xludf.DUMMYFUNCTION("""COMPUTED_VALUE"""),"Amazon API Gateway: Gestión de APIs.")</f>
        <v>Amazon API Gateway: Gestión de APIs.</v>
      </c>
      <c r="F29" s="39" t="s">
        <v>33</v>
      </c>
      <c r="G29" s="39" t="s">
        <v>33</v>
      </c>
    </row>
    <row r="30" ht="15.75" customHeight="1">
      <c r="B30" s="35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30" s="35" t="str">
        <f>IFERROR(__xludf.DUMMYFUNCTION("""COMPUTED_VALUE"""),"7 - Configuración de Arquitecturas Serverless")</f>
        <v>7 - Configuración de Arquitecturas Serverless</v>
      </c>
      <c r="D30" s="35" t="str">
        <f>IFERROR(__xludf.DUMMYFUNCTION("""COMPUTED_VALUE"""),"Serverless en AWS y Azure.")</f>
        <v>Serverless en AWS y Azure.</v>
      </c>
      <c r="E30" s="35" t="str">
        <f>IFERROR(__xludf.DUMMYFUNCTION("""COMPUTED_VALUE"""),"Azure Functions: Funciones sin servidor en Azure.")</f>
        <v>Azure Functions: Funciones sin servidor en Azure.</v>
      </c>
      <c r="F30" s="39" t="s">
        <v>33</v>
      </c>
      <c r="G30" s="39" t="s">
        <v>33</v>
      </c>
    </row>
    <row r="31" ht="15.75" customHeight="1">
      <c r="B31" s="35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31" s="35" t="str">
        <f>IFERROR(__xludf.DUMMYFUNCTION("""COMPUTED_VALUE"""),"7 - Configuración de Arquitecturas Serverless")</f>
        <v>7 - Configuración de Arquitecturas Serverless</v>
      </c>
      <c r="D31" s="35" t="str">
        <f>IFERROR(__xludf.DUMMYFUNCTION("""COMPUTED_VALUE"""),"Serverless en AWS y Azure.")</f>
        <v>Serverless en AWS y Azure.</v>
      </c>
      <c r="E31" s="35" t="str">
        <f>IFERROR(__xludf.DUMMYFUNCTION("""COMPUTED_VALUE"""),"Azure API Management.")</f>
        <v>Azure API Management.</v>
      </c>
      <c r="F31" s="39" t="s">
        <v>33</v>
      </c>
      <c r="G31" s="39" t="s">
        <v>33</v>
      </c>
    </row>
    <row r="32" ht="15.75" customHeight="1">
      <c r="B32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2" s="35" t="str">
        <f>IFERROR(__xludf.DUMMYFUNCTION("""COMPUTED_VALUE"""),"8 - Desarrollo de aplicaciones con Azure")</f>
        <v>8 - Desarrollo de aplicaciones con Azure</v>
      </c>
      <c r="D32" s="35" t="str">
        <f>IFERROR(__xludf.DUMMYFUNCTION("""COMPUTED_VALUE"""),"Plataformas de desarrollo en Azure")</f>
        <v>Plataformas de desarrollo en Azure</v>
      </c>
      <c r="E32" s="35" t="str">
        <f>IFERROR(__xludf.DUMMYFUNCTION("""COMPUTED_VALUE"""),"Azure Load Balancer")</f>
        <v>Azure Load Balancer</v>
      </c>
      <c r="F32" s="39" t="s">
        <v>33</v>
      </c>
      <c r="G32" s="39" t="s">
        <v>33</v>
      </c>
    </row>
    <row r="33" ht="15.75" customHeight="1">
      <c r="B33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3" s="35" t="str">
        <f>IFERROR(__xludf.DUMMYFUNCTION("""COMPUTED_VALUE"""),"8 - Desarrollo de aplicaciones con Azure")</f>
        <v>8 - Desarrollo de aplicaciones con Azure</v>
      </c>
      <c r="D33" s="35" t="str">
        <f>IFERROR(__xludf.DUMMYFUNCTION("""COMPUTED_VALUE"""),"Plataformas de desarrollo en Azure")</f>
        <v>Plataformas de desarrollo en Azure</v>
      </c>
      <c r="E33" s="35" t="str">
        <f>IFERROR(__xludf.DUMMYFUNCTION("""COMPUTED_VALUE"""),"Azure App Services")</f>
        <v>Azure App Services</v>
      </c>
      <c r="F33" s="39" t="s">
        <v>33</v>
      </c>
      <c r="G33" s="39" t="s">
        <v>33</v>
      </c>
    </row>
    <row r="34" ht="15.75" customHeight="1">
      <c r="B34" s="35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4" s="35" t="str">
        <f>IFERROR(__xludf.DUMMYFUNCTION("""COMPUTED_VALUE"""),"8 - Desarrollo de aplicaciones con Azure")</f>
        <v>8 - Desarrollo de aplicaciones con Azure</v>
      </c>
      <c r="D34" s="35" t="str">
        <f>IFERROR(__xludf.DUMMYFUNCTION("""COMPUTED_VALUE"""),"Plataformas de desarrollo en Azure")</f>
        <v>Plataformas de desarrollo en Azure</v>
      </c>
      <c r="E34" s="35" t="str">
        <f>IFERROR(__xludf.DUMMYFUNCTION("""COMPUTED_VALUE"""),"Azure Logic Apps")</f>
        <v>Azure Logic Apps</v>
      </c>
      <c r="F34" s="39" t="s">
        <v>33</v>
      </c>
      <c r="G34" s="39" t="s">
        <v>33</v>
      </c>
    </row>
    <row r="35" ht="15.75" customHeight="1">
      <c r="B35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5" s="35" t="str">
        <f>IFERROR(__xludf.DUMMYFUNCTION("""COMPUTED_VALUE"""),"9 - Inteligencia Artificial en Cloud Computing")</f>
        <v>9 - Inteligencia Artificial en Cloud Computing</v>
      </c>
      <c r="D35" s="35" t="str">
        <f>IFERROR(__xludf.DUMMYFUNCTION("""COMPUTED_VALUE"""),"Servicios de IA de AWS.")</f>
        <v>Servicios de IA de AWS.</v>
      </c>
      <c r="E35" s="35" t="str">
        <f>IFERROR(__xludf.DUMMYFUNCTION("""COMPUTED_VALUE"""),"Amazon Rekognition: Análisis de imágenes.")</f>
        <v>Amazon Rekognition: Análisis de imágenes.</v>
      </c>
      <c r="F35" s="39" t="s">
        <v>33</v>
      </c>
      <c r="G35" s="39" t="s">
        <v>33</v>
      </c>
    </row>
    <row r="36" ht="15.75" customHeight="1">
      <c r="B36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6" s="35" t="str">
        <f>IFERROR(__xludf.DUMMYFUNCTION("""COMPUTED_VALUE"""),"9 - Inteligencia Artificial en Cloud Computing")</f>
        <v>9 - Inteligencia Artificial en Cloud Computing</v>
      </c>
      <c r="D36" s="35" t="str">
        <f>IFERROR(__xludf.DUMMYFUNCTION("""COMPUTED_VALUE"""),"Servicios de IA de AWS.")</f>
        <v>Servicios de IA de AWS.</v>
      </c>
      <c r="E36" s="35" t="str">
        <f>IFERROR(__xludf.DUMMYFUNCTION("""COMPUTED_VALUE"""),"Amazon Lex: Creación de chatbots.")</f>
        <v>Amazon Lex: Creación de chatbots.</v>
      </c>
      <c r="F36" s="39" t="s">
        <v>33</v>
      </c>
      <c r="G36" s="39" t="s">
        <v>33</v>
      </c>
    </row>
    <row r="37" ht="15.75" customHeight="1">
      <c r="B37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7" s="35" t="str">
        <f>IFERROR(__xludf.DUMMYFUNCTION("""COMPUTED_VALUE"""),"9 - Inteligencia Artificial en Cloud Computing")</f>
        <v>9 - Inteligencia Artificial en Cloud Computing</v>
      </c>
      <c r="D37" s="35" t="str">
        <f>IFERROR(__xludf.DUMMYFUNCTION("""COMPUTED_VALUE"""),"Servicios de IA de AWS.")</f>
        <v>Servicios de IA de AWS.</v>
      </c>
      <c r="E37" s="35" t="str">
        <f>IFERROR(__xludf.DUMMYFUNCTION("""COMPUTED_VALUE"""),"Amazon Polly: Conversión de texto a voz.")</f>
        <v>Amazon Polly: Conversión de texto a voz.</v>
      </c>
      <c r="F37" s="39" t="s">
        <v>33</v>
      </c>
      <c r="G37" s="39" t="s">
        <v>33</v>
      </c>
    </row>
    <row r="38" ht="15.75" customHeight="1">
      <c r="B38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8" s="35" t="str">
        <f>IFERROR(__xludf.DUMMYFUNCTION("""COMPUTED_VALUE"""),"9 - Inteligencia Artificial en Cloud Computing")</f>
        <v>9 - Inteligencia Artificial en Cloud Computing</v>
      </c>
      <c r="D38" s="35" t="str">
        <f>IFERROR(__xludf.DUMMYFUNCTION("""COMPUTED_VALUE"""),"Servicios de IA de AWS.")</f>
        <v>Servicios de IA de AWS.</v>
      </c>
      <c r="E38" s="35" t="str">
        <f>IFERROR(__xludf.DUMMYFUNCTION("""COMPUTED_VALUE"""),"Amazon Translate y Cognito: Traducción automática y autenticación.")</f>
        <v>Amazon Translate y Cognito: Traducción automática y autenticación.</v>
      </c>
      <c r="F38" s="39" t="s">
        <v>23</v>
      </c>
      <c r="G38" s="39" t="s">
        <v>23</v>
      </c>
    </row>
    <row r="39" ht="15.75" customHeight="1">
      <c r="B39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9" s="35" t="str">
        <f>IFERROR(__xludf.DUMMYFUNCTION("""COMPUTED_VALUE"""),"9 - Inteligencia Artificial en Cloud Computing")</f>
        <v>9 - Inteligencia Artificial en Cloud Computing</v>
      </c>
      <c r="D39" s="35" t="str">
        <f>IFERROR(__xludf.DUMMYFUNCTION("""COMPUTED_VALUE"""),"Azure Cognitive Services.")</f>
        <v>Azure Cognitive Services.</v>
      </c>
      <c r="E39" s="35" t="str">
        <f>IFERROR(__xludf.DUMMYFUNCTION("""COMPUTED_VALUE"""),"Servicios de visión, lenguaje y toma de decisiones.")</f>
        <v>Servicios de visión, lenguaje y toma de decisiones.</v>
      </c>
      <c r="F39" s="39" t="s">
        <v>33</v>
      </c>
      <c r="G39" s="39" t="s">
        <v>33</v>
      </c>
    </row>
    <row r="40" ht="15.75" customHeight="1">
      <c r="B40" s="35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40" s="35" t="str">
        <f>IFERROR(__xludf.DUMMYFUNCTION("""COMPUTED_VALUE"""),"9 - Inteligencia Artificial en Cloud Computing")</f>
        <v>9 - Inteligencia Artificial en Cloud Computing</v>
      </c>
      <c r="D40" s="35" t="str">
        <f>IFERROR(__xludf.DUMMYFUNCTION("""COMPUTED_VALUE"""),"Azure Cognitive Services.")</f>
        <v>Azure Cognitive Services.</v>
      </c>
      <c r="E40" s="35" t="str">
        <f>IFERROR(__xludf.DUMMYFUNCTION("""COMPUTED_VALUE"""),"Integración en aplicaciones.")</f>
        <v>Integración en aplicaciones.</v>
      </c>
      <c r="F40" s="39" t="s">
        <v>33</v>
      </c>
      <c r="G40" s="39" t="s">
        <v>33</v>
      </c>
    </row>
    <row r="41" ht="15.75" customHeight="1">
      <c r="B41" s="35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C41" s="35" t="str">
        <f>IFERROR(__xludf.DUMMYFUNCTION("""COMPUTED_VALUE"""),"10 - Implementación de Plataformas de Microsoft")</f>
        <v>10 - Implementación de Plataformas de Microsoft</v>
      </c>
      <c r="D41" s="35" t="str">
        <f>IFERROR(__xludf.DUMMYFUNCTION("""COMPUTED_VALUE"""),"Microsoft Power Platforms.")</f>
        <v>Microsoft Power Platforms.</v>
      </c>
      <c r="E41" s="35" t="str">
        <f>IFERROR(__xludf.DUMMYFUNCTION("""COMPUTED_VALUE"""),"Power Automate: Automatización de flujos de trabajo.")</f>
        <v>Power Automate: Automatización de flujos de trabajo.</v>
      </c>
      <c r="F41" s="39" t="s">
        <v>23</v>
      </c>
      <c r="G41" s="39" t="s">
        <v>23</v>
      </c>
    </row>
    <row r="42" ht="15.75" customHeight="1">
      <c r="B42" s="35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C42" s="35" t="str">
        <f>IFERROR(__xludf.DUMMYFUNCTION("""COMPUTED_VALUE"""),"10 - Implementación de Plataformas de Microsoft")</f>
        <v>10 - Implementación de Plataformas de Microsoft</v>
      </c>
      <c r="D42" s="35" t="str">
        <f>IFERROR(__xludf.DUMMYFUNCTION("""COMPUTED_VALUE"""),"Microsoft Power Platforms.")</f>
        <v>Microsoft Power Platforms.</v>
      </c>
      <c r="E42" s="35" t="str">
        <f>IFERROR(__xludf.DUMMYFUNCTION("""COMPUTED_VALUE"""),"Power Apps: Creación de aplicaciones sin código.")</f>
        <v>Power Apps: Creación de aplicaciones sin código.</v>
      </c>
      <c r="F42" s="39" t="s">
        <v>23</v>
      </c>
      <c r="G42" s="39" t="s">
        <v>23</v>
      </c>
    </row>
    <row r="43" ht="15.75" customHeight="1">
      <c r="B43" s="3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3" s="35" t="str">
        <f>IFERROR(__xludf.DUMMYFUNCTION("""COMPUTED_VALUE"""),"11 - Desarrollo de aplicaciones con Docker")</f>
        <v>11 - Desarrollo de aplicaciones con Docker</v>
      </c>
      <c r="D43" s="35" t="str">
        <f>IFERROR(__xludf.DUMMYFUNCTION("""COMPUTED_VALUE"""),"Fundamentos de Docker.")</f>
        <v>Fundamentos de Docker.</v>
      </c>
      <c r="E43" s="35" t="str">
        <f>IFERROR(__xludf.DUMMYFUNCTION("""COMPUTED_VALUE"""),"Contenedores: Conceptos básicos.")</f>
        <v>Contenedores: Conceptos básicos.</v>
      </c>
      <c r="F43" s="39" t="s">
        <v>33</v>
      </c>
      <c r="G43" s="39" t="s">
        <v>33</v>
      </c>
    </row>
    <row r="44" ht="15.75" customHeight="1">
      <c r="B44" s="3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4" s="35" t="str">
        <f>IFERROR(__xludf.DUMMYFUNCTION("""COMPUTED_VALUE"""),"11 - Desarrollo de aplicaciones con Docker")</f>
        <v>11 - Desarrollo de aplicaciones con Docker</v>
      </c>
      <c r="D44" s="35" t="str">
        <f>IFERROR(__xludf.DUMMYFUNCTION("""COMPUTED_VALUE"""),"Fundamentos de Docker.")</f>
        <v>Fundamentos de Docker.</v>
      </c>
      <c r="E44" s="35" t="str">
        <f>IFERROR(__xludf.DUMMYFUNCTION("""COMPUTED_VALUE"""),"Imágenes y volúmenes: Almacenamiento en Docker.")</f>
        <v>Imágenes y volúmenes: Almacenamiento en Docker.</v>
      </c>
      <c r="F44" s="39" t="s">
        <v>33</v>
      </c>
      <c r="G44" s="39" t="s">
        <v>33</v>
      </c>
    </row>
    <row r="45" ht="15.75" customHeight="1">
      <c r="B45" s="3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5" s="35" t="str">
        <f>IFERROR(__xludf.DUMMYFUNCTION("""COMPUTED_VALUE"""),"11 - Desarrollo de aplicaciones con Docker")</f>
        <v>11 - Desarrollo de aplicaciones con Docker</v>
      </c>
      <c r="D45" s="35" t="str">
        <f>IFERROR(__xludf.DUMMYFUNCTION("""COMPUTED_VALUE"""),"Fundamentos de Docker.")</f>
        <v>Fundamentos de Docker.</v>
      </c>
      <c r="E45" s="35" t="str">
        <f>IFERROR(__xludf.DUMMYFUNCTION("""COMPUTED_VALUE"""),"Dockerizar aplicaciones.")</f>
        <v>Dockerizar aplicaciones.</v>
      </c>
      <c r="F45" s="39" t="s">
        <v>33</v>
      </c>
      <c r="G45" s="39" t="s">
        <v>33</v>
      </c>
    </row>
    <row r="46" ht="15.75" customHeight="1">
      <c r="B46" s="3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6" s="35" t="str">
        <f>IFERROR(__xludf.DUMMYFUNCTION("""COMPUTED_VALUE"""),"11 - Desarrollo de aplicaciones con Docker")</f>
        <v>11 - Desarrollo de aplicaciones con Docker</v>
      </c>
      <c r="D46" s="35" t="str">
        <f>IFERROR(__xludf.DUMMYFUNCTION("""COMPUTED_VALUE"""),"Fundamentos de Docker.")</f>
        <v>Fundamentos de Docker.</v>
      </c>
      <c r="E46" s="35" t="str">
        <f>IFERROR(__xludf.DUMMYFUNCTION("""COMPUTED_VALUE"""),"Docker Compose: Orquestación de contenedores.")</f>
        <v>Docker Compose: Orquestación de contenedores.</v>
      </c>
      <c r="F46" s="39" t="s">
        <v>33</v>
      </c>
      <c r="G46" s="39" t="s">
        <v>33</v>
      </c>
    </row>
    <row r="47" ht="15.75" customHeight="1">
      <c r="B47" s="35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7" s="35" t="str">
        <f>IFERROR(__xludf.DUMMYFUNCTION("""COMPUTED_VALUE"""),"11 - Desarrollo de aplicaciones con Docker")</f>
        <v>11 - Desarrollo de aplicaciones con Docker</v>
      </c>
      <c r="D47" s="35" t="str">
        <f>IFERROR(__xludf.DUMMYFUNCTION("""COMPUTED_VALUE"""),"Fundamentos de Docker.")</f>
        <v>Fundamentos de Docker.</v>
      </c>
      <c r="E47" s="35" t="str">
        <f>IFERROR(__xludf.DUMMYFUNCTION("""COMPUTED_VALUE"""),"Despliegue y escalabilidad de aplicaciones con Docker.")</f>
        <v>Despliegue y escalabilidad de aplicaciones con Docker.</v>
      </c>
      <c r="F47" s="39" t="s">
        <v>33</v>
      </c>
      <c r="G47" s="39" t="s">
        <v>33</v>
      </c>
    </row>
    <row r="48" ht="15.75" customHeight="1">
      <c r="B48" s="35"/>
      <c r="C48" s="35"/>
      <c r="D48" s="35"/>
      <c r="E48" s="35"/>
      <c r="F48" s="52"/>
      <c r="G48" s="52"/>
    </row>
    <row r="49" ht="15.75" customHeight="1">
      <c r="B49" s="35"/>
      <c r="C49" s="35"/>
      <c r="D49" s="35"/>
      <c r="E49" s="35"/>
      <c r="F49" s="52"/>
      <c r="G49" s="52"/>
    </row>
    <row r="50" ht="15.75" customHeight="1">
      <c r="B50" s="35"/>
      <c r="C50" s="35"/>
      <c r="D50" s="35"/>
      <c r="E50" s="35"/>
      <c r="F50" s="52"/>
      <c r="G50" s="52"/>
    </row>
    <row r="51" ht="15.75" customHeight="1">
      <c r="B51" s="35"/>
      <c r="C51" s="35"/>
      <c r="D51" s="35"/>
      <c r="E51" s="35"/>
      <c r="F51" s="52"/>
      <c r="G51" s="52"/>
    </row>
    <row r="52" ht="15.75" customHeight="1">
      <c r="B52" s="35"/>
      <c r="C52" s="35"/>
      <c r="D52" s="35"/>
      <c r="E52" s="35"/>
      <c r="F52" s="52"/>
      <c r="G52" s="52"/>
    </row>
    <row r="53" ht="15.75" customHeight="1">
      <c r="B53" s="35"/>
      <c r="C53" s="35"/>
      <c r="D53" s="35"/>
      <c r="E53" s="35"/>
      <c r="F53" s="52"/>
      <c r="G53" s="52"/>
    </row>
    <row r="54" ht="15.75" customHeight="1">
      <c r="B54" s="35"/>
      <c r="C54" s="35"/>
      <c r="D54" s="35"/>
      <c r="E54" s="35"/>
      <c r="F54" s="52"/>
      <c r="G54" s="52"/>
    </row>
    <row r="55" ht="15.75" customHeight="1">
      <c r="B55" s="35"/>
      <c r="C55" s="35"/>
      <c r="D55" s="35"/>
      <c r="E55" s="35"/>
      <c r="F55" s="52"/>
      <c r="G55" s="52"/>
    </row>
    <row r="56" ht="15.75" customHeight="1">
      <c r="B56" s="35"/>
      <c r="C56" s="35"/>
      <c r="D56" s="35"/>
      <c r="E56" s="35"/>
      <c r="F56" s="52"/>
      <c r="G56" s="52"/>
    </row>
    <row r="57" ht="15.75" customHeight="1">
      <c r="B57" s="35"/>
      <c r="C57" s="35"/>
      <c r="D57" s="35"/>
      <c r="E57" s="35"/>
      <c r="F57" s="52"/>
      <c r="G57" s="52"/>
    </row>
    <row r="58" ht="15.75" customHeight="1">
      <c r="B58" s="35"/>
      <c r="C58" s="35"/>
      <c r="D58" s="35"/>
      <c r="E58" s="35"/>
      <c r="F58" s="52"/>
      <c r="G58" s="52"/>
    </row>
    <row r="59" ht="15.75" customHeight="1">
      <c r="B59" s="35"/>
      <c r="C59" s="35"/>
      <c r="D59" s="35"/>
      <c r="E59" s="35"/>
      <c r="F59" s="52"/>
      <c r="G59" s="52"/>
    </row>
    <row r="60" ht="15.75" customHeight="1">
      <c r="B60" s="35"/>
      <c r="C60" s="35"/>
      <c r="D60" s="35"/>
      <c r="E60" s="35"/>
      <c r="F60" s="52"/>
      <c r="G60" s="52"/>
    </row>
    <row r="61" ht="15.75" customHeight="1">
      <c r="B61" s="35"/>
      <c r="C61" s="35"/>
      <c r="D61" s="35"/>
      <c r="E61" s="35"/>
      <c r="F61" s="52"/>
      <c r="G61" s="52"/>
    </row>
    <row r="62" ht="15.75" customHeight="1">
      <c r="B62" s="35"/>
      <c r="C62" s="35"/>
      <c r="D62" s="35"/>
      <c r="E62" s="35"/>
      <c r="F62" s="52"/>
      <c r="G62" s="52"/>
    </row>
    <row r="63" ht="15.75" customHeight="1">
      <c r="B63" s="35"/>
      <c r="C63" s="35"/>
      <c r="D63" s="35"/>
      <c r="E63" s="35"/>
      <c r="F63" s="52"/>
      <c r="G63" s="52"/>
    </row>
    <row r="64" ht="15.75" customHeight="1">
      <c r="B64" s="35"/>
      <c r="C64" s="35"/>
      <c r="D64" s="35"/>
      <c r="E64" s="35"/>
      <c r="F64" s="52"/>
      <c r="G64" s="52"/>
    </row>
    <row r="65" ht="15.75" customHeight="1">
      <c r="B65" s="35"/>
      <c r="C65" s="35"/>
      <c r="D65" s="35"/>
      <c r="E65" s="35"/>
      <c r="F65" s="52"/>
      <c r="G65" s="52"/>
    </row>
    <row r="66" ht="15.75" customHeight="1">
      <c r="B66" s="35"/>
      <c r="C66" s="35"/>
      <c r="D66" s="35"/>
      <c r="E66" s="35"/>
      <c r="F66" s="52"/>
      <c r="G66" s="52"/>
    </row>
    <row r="67" ht="15.75" customHeight="1">
      <c r="B67" s="35"/>
      <c r="C67" s="35"/>
      <c r="D67" s="35"/>
      <c r="E67" s="35"/>
      <c r="F67" s="52"/>
      <c r="G67" s="52"/>
    </row>
    <row r="68" ht="15.75" customHeight="1">
      <c r="B68" s="35"/>
      <c r="C68" s="35"/>
      <c r="D68" s="35"/>
      <c r="E68" s="35"/>
      <c r="F68" s="52"/>
      <c r="G68" s="52"/>
    </row>
    <row r="69" ht="15.75" customHeight="1">
      <c r="B69" s="35"/>
      <c r="C69" s="35"/>
      <c r="D69" s="35"/>
      <c r="E69" s="35"/>
      <c r="F69" s="52"/>
      <c r="G69" s="52"/>
    </row>
    <row r="70" ht="15.75" customHeight="1">
      <c r="B70" s="35"/>
      <c r="C70" s="35"/>
      <c r="D70" s="35"/>
      <c r="E70" s="35"/>
      <c r="F70" s="52"/>
      <c r="G70" s="52"/>
    </row>
    <row r="71" ht="15.75" customHeight="1">
      <c r="B71" s="35"/>
      <c r="C71" s="35"/>
      <c r="D71" s="35"/>
      <c r="E71" s="35"/>
      <c r="F71" s="52"/>
      <c r="G71" s="52"/>
    </row>
    <row r="72" ht="15.75" customHeight="1">
      <c r="B72" s="35"/>
      <c r="C72" s="35"/>
      <c r="D72" s="35"/>
      <c r="E72" s="35"/>
      <c r="F72" s="52"/>
      <c r="G72" s="52"/>
    </row>
    <row r="73" ht="15.75" customHeight="1">
      <c r="B73" s="6"/>
      <c r="C73" s="6"/>
      <c r="D73" s="6"/>
      <c r="E73" s="6"/>
    </row>
    <row r="74" ht="15.75" customHeight="1">
      <c r="B74" s="6"/>
      <c r="C74" s="6"/>
      <c r="D74" s="6"/>
      <c r="E74" s="6"/>
    </row>
    <row r="75" ht="15.75" customHeight="1">
      <c r="B75" s="6"/>
      <c r="C75" s="6"/>
      <c r="D75" s="6"/>
      <c r="E75" s="6"/>
    </row>
    <row r="76" ht="15.75" customHeight="1">
      <c r="B76" s="6"/>
      <c r="C76" s="6"/>
      <c r="D76" s="6"/>
      <c r="E76" s="6"/>
    </row>
    <row r="77" ht="15.75" customHeight="1">
      <c r="B77" s="6"/>
      <c r="C77" s="6"/>
      <c r="D77" s="6"/>
      <c r="E77" s="6"/>
    </row>
    <row r="78" ht="15.75" customHeight="1">
      <c r="B78" s="6"/>
      <c r="C78" s="6"/>
      <c r="D78" s="6"/>
      <c r="E78" s="6"/>
    </row>
    <row r="79" ht="15.75" customHeight="1">
      <c r="B79" s="6"/>
      <c r="C79" s="6"/>
      <c r="D79" s="6"/>
      <c r="E79" s="6"/>
    </row>
    <row r="80" ht="15.75" customHeight="1">
      <c r="B80" s="6"/>
      <c r="C80" s="6"/>
      <c r="D80" s="6"/>
      <c r="E80" s="6"/>
    </row>
    <row r="81" ht="15.75" customHeight="1">
      <c r="B81" s="6"/>
      <c r="C81" s="6"/>
      <c r="D81" s="6"/>
      <c r="E81" s="6"/>
    </row>
    <row r="82" ht="15.75" customHeight="1">
      <c r="B82" s="6"/>
      <c r="C82" s="6"/>
      <c r="D82" s="6"/>
      <c r="E82" s="6"/>
    </row>
    <row r="83" ht="15.75" customHeight="1">
      <c r="B83" s="6"/>
      <c r="C83" s="6"/>
      <c r="D83" s="6"/>
      <c r="E83" s="6"/>
    </row>
    <row r="84" ht="15.75" customHeight="1">
      <c r="B84" s="6"/>
      <c r="C84" s="6"/>
      <c r="D84" s="6"/>
      <c r="E84" s="6"/>
    </row>
    <row r="85" ht="15.75" customHeight="1">
      <c r="B85" s="6"/>
      <c r="C85" s="6"/>
      <c r="D85" s="6"/>
      <c r="E85" s="6"/>
    </row>
    <row r="86" ht="15.75" customHeight="1">
      <c r="B86" s="6"/>
      <c r="C86" s="6"/>
      <c r="D86" s="6"/>
      <c r="E86" s="6"/>
    </row>
    <row r="87" ht="15.75" customHeight="1">
      <c r="B87" s="6"/>
      <c r="C87" s="6"/>
      <c r="D87" s="6"/>
      <c r="E87" s="6"/>
    </row>
    <row r="88" ht="15.75" customHeight="1">
      <c r="B88" s="6"/>
      <c r="C88" s="6"/>
      <c r="D88" s="6"/>
      <c r="E88" s="6"/>
    </row>
    <row r="89" ht="15.75" customHeight="1">
      <c r="B89" s="6"/>
      <c r="C89" s="6"/>
      <c r="D89" s="6"/>
      <c r="E89" s="6"/>
    </row>
    <row r="90" ht="15.75" customHeight="1">
      <c r="B90" s="6"/>
      <c r="C90" s="6"/>
      <c r="D90" s="6"/>
      <c r="E90" s="6"/>
    </row>
    <row r="91" ht="15.75" customHeight="1">
      <c r="B91" s="6"/>
      <c r="C91" s="6"/>
      <c r="D91" s="6"/>
      <c r="E91" s="6"/>
    </row>
    <row r="92" ht="15.75" customHeight="1">
      <c r="B92" s="6"/>
      <c r="C92" s="6"/>
      <c r="D92" s="6"/>
      <c r="E92" s="6"/>
    </row>
    <row r="93" ht="15.75" customHeight="1">
      <c r="B93" s="6"/>
      <c r="C93" s="6"/>
      <c r="D93" s="6"/>
      <c r="E93" s="6"/>
    </row>
    <row r="94" ht="15.75" customHeight="1">
      <c r="B94" s="6"/>
      <c r="C94" s="6"/>
      <c r="D94" s="6"/>
      <c r="E94" s="6"/>
    </row>
    <row r="95" ht="15.75" customHeight="1">
      <c r="B95" s="6"/>
      <c r="C95" s="6"/>
      <c r="D95" s="6"/>
      <c r="E95" s="6"/>
    </row>
    <row r="96" ht="15.75" customHeight="1">
      <c r="B96" s="6"/>
      <c r="C96" s="6"/>
      <c r="D96" s="6"/>
      <c r="E96" s="6"/>
    </row>
    <row r="97" ht="15.75" customHeight="1">
      <c r="B97" s="6"/>
      <c r="C97" s="6"/>
      <c r="D97" s="6"/>
      <c r="E97" s="6"/>
    </row>
    <row r="98" ht="15.75" customHeight="1">
      <c r="B98" s="6"/>
      <c r="C98" s="6"/>
      <c r="D98" s="6"/>
      <c r="E98" s="6"/>
    </row>
    <row r="99" ht="15.75" customHeight="1">
      <c r="B99" s="6"/>
      <c r="C99" s="6"/>
      <c r="D99" s="6"/>
      <c r="E99" s="6"/>
    </row>
    <row r="100" ht="15.75" customHeight="1">
      <c r="B100" s="6"/>
      <c r="C100" s="6"/>
      <c r="D100" s="6"/>
      <c r="E100" s="6"/>
    </row>
    <row r="101" ht="15.75" customHeight="1">
      <c r="B101" s="6"/>
      <c r="C101" s="6"/>
      <c r="D101" s="6"/>
      <c r="E101" s="6"/>
    </row>
    <row r="102" ht="15.75" customHeight="1">
      <c r="B102" s="6"/>
      <c r="C102" s="6"/>
      <c r="D102" s="6"/>
      <c r="E102" s="6"/>
    </row>
    <row r="103" ht="15.75" customHeight="1">
      <c r="B103" s="6"/>
      <c r="C103" s="6"/>
      <c r="D103" s="6"/>
      <c r="E103" s="6"/>
    </row>
    <row r="104" ht="15.75" customHeight="1">
      <c r="B104" s="6"/>
      <c r="C104" s="6"/>
      <c r="D104" s="6"/>
      <c r="E104" s="6"/>
    </row>
    <row r="105" ht="15.75" customHeight="1">
      <c r="B105" s="6"/>
      <c r="C105" s="6"/>
      <c r="D105" s="6"/>
      <c r="E105" s="6"/>
    </row>
    <row r="106" ht="15.75" customHeight="1">
      <c r="B106" s="6"/>
      <c r="C106" s="6"/>
      <c r="D106" s="6"/>
      <c r="E106" s="6"/>
    </row>
    <row r="107" ht="15.75" customHeight="1">
      <c r="B107" s="6"/>
      <c r="C107" s="6"/>
      <c r="D107" s="6"/>
      <c r="E107" s="6"/>
    </row>
    <row r="108" ht="15.75" customHeight="1">
      <c r="B108" s="6"/>
      <c r="C108" s="6"/>
      <c r="D108" s="6"/>
      <c r="E108" s="6"/>
    </row>
    <row r="109" ht="15.75" customHeight="1">
      <c r="B109" s="6"/>
      <c r="C109" s="6"/>
      <c r="D109" s="6"/>
      <c r="E109" s="6"/>
    </row>
    <row r="110" ht="15.75" customHeight="1">
      <c r="B110" s="6"/>
      <c r="C110" s="6"/>
      <c r="D110" s="6"/>
      <c r="E110" s="6"/>
    </row>
    <row r="111" ht="15.75" customHeight="1">
      <c r="B111" s="6"/>
      <c r="C111" s="6"/>
      <c r="D111" s="6"/>
      <c r="E111" s="6"/>
    </row>
    <row r="112" ht="15.75" customHeight="1">
      <c r="B112" s="6"/>
      <c r="C112" s="6"/>
      <c r="D112" s="6"/>
      <c r="E112" s="6"/>
    </row>
    <row r="113" ht="15.75" customHeight="1">
      <c r="B113" s="6"/>
      <c r="C113" s="6"/>
      <c r="D113" s="6"/>
      <c r="E113" s="6"/>
    </row>
    <row r="114" ht="15.75" customHeight="1">
      <c r="B114" s="6"/>
      <c r="C114" s="6"/>
      <c r="D114" s="6"/>
      <c r="E114" s="6"/>
    </row>
    <row r="115" ht="15.75" customHeight="1">
      <c r="B115" s="6"/>
      <c r="C115" s="6"/>
      <c r="D115" s="6"/>
      <c r="E115" s="6"/>
    </row>
    <row r="116" ht="15.75" customHeight="1">
      <c r="B116" s="6"/>
      <c r="C116" s="6"/>
      <c r="D116" s="6"/>
      <c r="E116" s="6"/>
    </row>
    <row r="117" ht="15.75" customHeight="1">
      <c r="B117" s="6"/>
      <c r="C117" s="6"/>
      <c r="D117" s="6"/>
      <c r="E117" s="6"/>
    </row>
    <row r="118" ht="15.75" customHeight="1">
      <c r="B118" s="6"/>
      <c r="C118" s="6"/>
      <c r="D118" s="6"/>
      <c r="E118" s="6"/>
    </row>
    <row r="119" ht="15.75" customHeight="1">
      <c r="B119" s="6"/>
      <c r="C119" s="6"/>
      <c r="D119" s="6"/>
      <c r="E119" s="6"/>
    </row>
    <row r="120" ht="15.75" customHeight="1">
      <c r="B120" s="6"/>
      <c r="C120" s="6"/>
      <c r="D120" s="6"/>
      <c r="E120" s="6"/>
    </row>
    <row r="121" ht="15.75" customHeight="1">
      <c r="B121" s="6"/>
      <c r="C121" s="6"/>
      <c r="D121" s="6"/>
      <c r="E121" s="6"/>
    </row>
    <row r="122" ht="15.75" customHeight="1">
      <c r="B122" s="6"/>
      <c r="C122" s="6"/>
      <c r="D122" s="6"/>
      <c r="E122" s="6"/>
    </row>
    <row r="123" ht="15.75" customHeight="1">
      <c r="B123" s="6"/>
      <c r="C123" s="6"/>
      <c r="D123" s="6"/>
      <c r="E123" s="6"/>
    </row>
    <row r="124" ht="15.75" customHeight="1">
      <c r="B124" s="6"/>
      <c r="C124" s="6"/>
      <c r="D124" s="6"/>
      <c r="E124" s="6"/>
    </row>
    <row r="125" ht="15.75" customHeight="1">
      <c r="B125" s="6"/>
      <c r="C125" s="6"/>
      <c r="D125" s="6"/>
      <c r="E125" s="6"/>
    </row>
    <row r="126" ht="15.75" customHeight="1">
      <c r="B126" s="6"/>
      <c r="C126" s="6"/>
      <c r="D126" s="6"/>
      <c r="E126" s="6"/>
    </row>
    <row r="127" ht="15.75" customHeight="1">
      <c r="B127" s="6"/>
      <c r="C127" s="6"/>
      <c r="D127" s="6"/>
      <c r="E127" s="6"/>
    </row>
    <row r="128" ht="15.75" customHeight="1">
      <c r="B128" s="6"/>
      <c r="C128" s="6"/>
      <c r="D128" s="6"/>
      <c r="E128" s="6"/>
    </row>
    <row r="129" ht="15.75" customHeight="1">
      <c r="B129" s="6"/>
      <c r="C129" s="6"/>
      <c r="D129" s="6"/>
      <c r="E129" s="6"/>
    </row>
    <row r="130" ht="15.75" customHeight="1">
      <c r="B130" s="6"/>
      <c r="C130" s="6"/>
      <c r="D130" s="6"/>
      <c r="E130" s="6"/>
    </row>
    <row r="131" ht="15.75" customHeight="1">
      <c r="B131" s="6"/>
      <c r="C131" s="6"/>
      <c r="D131" s="6"/>
      <c r="E131" s="6"/>
    </row>
    <row r="132" ht="15.75" customHeight="1">
      <c r="B132" s="6"/>
      <c r="C132" s="6"/>
      <c r="D132" s="6"/>
      <c r="E132" s="6"/>
    </row>
    <row r="133" ht="15.75" customHeight="1">
      <c r="B133" s="6"/>
      <c r="C133" s="6"/>
      <c r="D133" s="6"/>
      <c r="E133" s="6"/>
    </row>
    <row r="134" ht="15.75" customHeight="1">
      <c r="B134" s="6"/>
      <c r="C134" s="6"/>
      <c r="D134" s="6"/>
      <c r="E134" s="6"/>
    </row>
    <row r="135" ht="15.75" customHeight="1">
      <c r="B135" s="6"/>
      <c r="C135" s="6"/>
      <c r="D135" s="6"/>
      <c r="E135" s="6"/>
    </row>
    <row r="136" ht="15.75" customHeight="1">
      <c r="B136" s="6"/>
      <c r="C136" s="6"/>
      <c r="D136" s="6"/>
      <c r="E136" s="6"/>
    </row>
    <row r="137" ht="15.75" customHeight="1">
      <c r="B137" s="6"/>
      <c r="C137" s="6"/>
      <c r="D137" s="6"/>
      <c r="E137" s="6"/>
    </row>
    <row r="138" ht="15.75" customHeight="1">
      <c r="B138" s="6"/>
      <c r="C138" s="6"/>
      <c r="D138" s="6"/>
      <c r="E138" s="6"/>
    </row>
    <row r="139" ht="15.75" customHeight="1">
      <c r="B139" s="6"/>
      <c r="C139" s="6"/>
      <c r="D139" s="6"/>
      <c r="E139" s="6"/>
    </row>
    <row r="140" ht="15.75" customHeight="1">
      <c r="B140" s="6"/>
      <c r="C140" s="6"/>
      <c r="D140" s="6"/>
      <c r="E140" s="6"/>
    </row>
    <row r="141" ht="15.75" customHeight="1">
      <c r="B141" s="6"/>
      <c r="C141" s="6"/>
      <c r="D141" s="6"/>
      <c r="E141" s="6"/>
    </row>
    <row r="142" ht="15.75" customHeight="1">
      <c r="B142" s="6"/>
      <c r="C142" s="6"/>
      <c r="D142" s="6"/>
      <c r="E142" s="6"/>
    </row>
    <row r="143" ht="15.75" customHeight="1">
      <c r="B143" s="6"/>
      <c r="C143" s="6"/>
      <c r="D143" s="6"/>
      <c r="E143" s="6"/>
    </row>
    <row r="144" ht="15.75" customHeight="1">
      <c r="B144" s="6"/>
      <c r="C144" s="6"/>
      <c r="D144" s="6"/>
      <c r="E144" s="6"/>
    </row>
    <row r="145" ht="15.75" customHeight="1">
      <c r="B145" s="6"/>
      <c r="C145" s="6"/>
      <c r="D145" s="6"/>
      <c r="E145" s="6"/>
    </row>
    <row r="146" ht="15.75" customHeight="1">
      <c r="B146" s="6"/>
      <c r="C146" s="6"/>
      <c r="D146" s="6"/>
      <c r="E146" s="6"/>
    </row>
    <row r="147" ht="15.75" customHeight="1">
      <c r="B147" s="6"/>
      <c r="C147" s="6"/>
      <c r="D147" s="6"/>
      <c r="E147" s="6"/>
    </row>
    <row r="148" ht="15.75" customHeight="1">
      <c r="B148" s="6"/>
      <c r="C148" s="6"/>
      <c r="D148" s="6"/>
      <c r="E148" s="6"/>
    </row>
    <row r="149" ht="15.75" customHeight="1">
      <c r="B149" s="6"/>
      <c r="C149" s="6"/>
      <c r="D149" s="6"/>
      <c r="E149" s="6"/>
    </row>
    <row r="150" ht="15.75" customHeight="1">
      <c r="B150" s="6"/>
      <c r="C150" s="6"/>
      <c r="D150" s="6"/>
      <c r="E150" s="6"/>
    </row>
    <row r="151" ht="15.75" customHeight="1">
      <c r="B151" s="6"/>
      <c r="C151" s="6"/>
      <c r="D151" s="6"/>
      <c r="E151" s="6"/>
    </row>
    <row r="152" ht="15.75" customHeight="1">
      <c r="B152" s="6"/>
      <c r="C152" s="6"/>
      <c r="D152" s="6"/>
      <c r="E152" s="6"/>
    </row>
    <row r="153" ht="15.75" customHeight="1">
      <c r="B153" s="6"/>
      <c r="C153" s="6"/>
      <c r="D153" s="6"/>
      <c r="E153" s="6"/>
    </row>
    <row r="154" ht="15.75" customHeight="1">
      <c r="B154" s="6"/>
      <c r="C154" s="6"/>
      <c r="D154" s="6"/>
      <c r="E154" s="6"/>
    </row>
    <row r="155" ht="15.75" customHeight="1">
      <c r="B155" s="6"/>
      <c r="C155" s="6"/>
      <c r="D155" s="6"/>
      <c r="E155" s="6"/>
    </row>
    <row r="156" ht="15.75" customHeight="1">
      <c r="B156" s="6"/>
      <c r="C156" s="6"/>
      <c r="D156" s="6"/>
      <c r="E156" s="6"/>
    </row>
    <row r="157" ht="15.75" customHeight="1">
      <c r="B157" s="6"/>
      <c r="C157" s="6"/>
      <c r="D157" s="6"/>
      <c r="E157" s="6"/>
    </row>
    <row r="158" ht="15.75" customHeight="1">
      <c r="B158" s="6"/>
      <c r="C158" s="6"/>
      <c r="D158" s="6"/>
      <c r="E158" s="6"/>
    </row>
    <row r="159" ht="15.75" customHeight="1">
      <c r="B159" s="6"/>
      <c r="C159" s="6"/>
      <c r="D159" s="6"/>
      <c r="E159" s="6"/>
    </row>
    <row r="160" ht="15.75" customHeight="1">
      <c r="B160" s="6"/>
      <c r="C160" s="6"/>
      <c r="D160" s="6"/>
      <c r="E160" s="6"/>
    </row>
    <row r="161" ht="15.75" customHeight="1">
      <c r="B161" s="6"/>
      <c r="C161" s="6"/>
      <c r="D161" s="6"/>
      <c r="E161" s="6"/>
    </row>
    <row r="162" ht="15.75" customHeight="1">
      <c r="B162" s="6"/>
      <c r="C162" s="6"/>
      <c r="D162" s="6"/>
      <c r="E162" s="6"/>
    </row>
    <row r="163" ht="15.75" customHeight="1">
      <c r="B163" s="6"/>
      <c r="C163" s="6"/>
      <c r="D163" s="6"/>
      <c r="E163" s="6"/>
    </row>
    <row r="164" ht="15.75" customHeight="1">
      <c r="B164" s="6"/>
      <c r="C164" s="6"/>
      <c r="D164" s="6"/>
      <c r="E164" s="6"/>
    </row>
    <row r="165" ht="15.75" customHeight="1">
      <c r="B165" s="6"/>
      <c r="C165" s="6"/>
      <c r="D165" s="6"/>
      <c r="E165" s="6"/>
    </row>
    <row r="166" ht="15.75" customHeight="1">
      <c r="B166" s="6"/>
      <c r="C166" s="6"/>
      <c r="D166" s="6"/>
      <c r="E166" s="6"/>
    </row>
    <row r="167" ht="15.75" customHeight="1">
      <c r="B167" s="6"/>
      <c r="C167" s="6"/>
      <c r="D167" s="6"/>
      <c r="E167" s="6"/>
    </row>
    <row r="168" ht="15.75" customHeight="1">
      <c r="B168" s="6"/>
      <c r="C168" s="6"/>
      <c r="D168" s="6"/>
      <c r="E168" s="6"/>
    </row>
    <row r="169" ht="15.75" customHeight="1">
      <c r="B169" s="6"/>
      <c r="C169" s="6"/>
      <c r="D169" s="6"/>
      <c r="E169" s="6"/>
    </row>
    <row r="170" ht="15.75" customHeight="1">
      <c r="B170" s="6"/>
      <c r="C170" s="6"/>
      <c r="D170" s="6"/>
      <c r="E170" s="6"/>
    </row>
    <row r="171" ht="15.75" customHeight="1">
      <c r="B171" s="6"/>
      <c r="C171" s="6"/>
      <c r="D171" s="6"/>
      <c r="E171" s="6"/>
    </row>
    <row r="172" ht="15.75" customHeight="1">
      <c r="B172" s="6"/>
      <c r="C172" s="6"/>
      <c r="D172" s="6"/>
      <c r="E172" s="6"/>
    </row>
    <row r="173" ht="15.75" customHeight="1">
      <c r="B173" s="6"/>
      <c r="C173" s="6"/>
      <c r="D173" s="6"/>
      <c r="E173" s="6"/>
    </row>
    <row r="174" ht="15.75" customHeight="1">
      <c r="B174" s="6"/>
      <c r="C174" s="6"/>
      <c r="D174" s="6"/>
      <c r="E174" s="6"/>
    </row>
    <row r="175" ht="15.75" customHeight="1">
      <c r="B175" s="6"/>
      <c r="C175" s="6"/>
      <c r="D175" s="6"/>
      <c r="E175" s="6"/>
    </row>
    <row r="176" ht="15.75" customHeight="1">
      <c r="B176" s="6"/>
      <c r="C176" s="6"/>
      <c r="D176" s="6"/>
      <c r="E176" s="6"/>
    </row>
    <row r="177" ht="15.75" customHeight="1">
      <c r="B177" s="6"/>
      <c r="C177" s="6"/>
      <c r="D177" s="6"/>
      <c r="E177" s="6"/>
    </row>
    <row r="178" ht="15.75" customHeight="1">
      <c r="B178" s="6"/>
      <c r="C178" s="6"/>
      <c r="D178" s="6"/>
      <c r="E178" s="6"/>
    </row>
    <row r="179" ht="15.75" customHeight="1">
      <c r="B179" s="6"/>
      <c r="C179" s="6"/>
      <c r="D179" s="6"/>
      <c r="E179" s="6"/>
    </row>
    <row r="180" ht="15.75" customHeight="1">
      <c r="B180" s="6"/>
      <c r="C180" s="6"/>
      <c r="D180" s="6"/>
      <c r="E180" s="6"/>
    </row>
    <row r="181" ht="15.75" customHeight="1">
      <c r="B181" s="6"/>
      <c r="C181" s="6"/>
      <c r="D181" s="6"/>
      <c r="E181" s="6"/>
    </row>
    <row r="182" ht="15.75" customHeight="1">
      <c r="B182" s="6"/>
      <c r="C182" s="6"/>
      <c r="D182" s="6"/>
      <c r="E182" s="6"/>
    </row>
    <row r="183" ht="15.75" customHeight="1">
      <c r="B183" s="6"/>
      <c r="C183" s="6"/>
      <c r="D183" s="6"/>
      <c r="E183" s="6"/>
    </row>
    <row r="184" ht="15.75" customHeight="1">
      <c r="B184" s="6"/>
      <c r="C184" s="6"/>
      <c r="D184" s="6"/>
      <c r="E184" s="6"/>
    </row>
    <row r="185" ht="15.75" customHeight="1">
      <c r="B185" s="6"/>
      <c r="C185" s="6"/>
      <c r="D185" s="6"/>
      <c r="E185" s="6"/>
    </row>
    <row r="186" ht="15.75" customHeight="1">
      <c r="B186" s="6"/>
      <c r="C186" s="6"/>
      <c r="D186" s="6"/>
      <c r="E186" s="6"/>
    </row>
    <row r="187" ht="15.75" customHeight="1">
      <c r="B187" s="6"/>
      <c r="C187" s="6"/>
      <c r="D187" s="6"/>
      <c r="E187" s="6"/>
    </row>
    <row r="188" ht="15.75" customHeight="1">
      <c r="B188" s="6"/>
      <c r="C188" s="6"/>
      <c r="D188" s="6"/>
      <c r="E188" s="6"/>
    </row>
    <row r="189" ht="15.75" customHeight="1">
      <c r="B189" s="6"/>
      <c r="C189" s="6"/>
      <c r="D189" s="6"/>
      <c r="E189" s="6"/>
    </row>
    <row r="190" ht="15.75" customHeight="1">
      <c r="B190" s="6"/>
      <c r="C190" s="6"/>
      <c r="D190" s="6"/>
      <c r="E190" s="6"/>
    </row>
    <row r="191" ht="15.75" customHeight="1">
      <c r="B191" s="6"/>
      <c r="C191" s="6"/>
      <c r="D191" s="6"/>
      <c r="E191" s="6"/>
    </row>
    <row r="192" ht="15.75" customHeight="1">
      <c r="B192" s="6"/>
      <c r="C192" s="6"/>
      <c r="D192" s="6"/>
      <c r="E192" s="6"/>
    </row>
    <row r="193" ht="15.75" customHeight="1">
      <c r="B193" s="6"/>
      <c r="C193" s="6"/>
      <c r="D193" s="6"/>
      <c r="E193" s="6"/>
    </row>
    <row r="194" ht="15.75" customHeight="1">
      <c r="B194" s="6"/>
      <c r="C194" s="6"/>
      <c r="D194" s="6"/>
      <c r="E194" s="6"/>
    </row>
    <row r="195" ht="15.75" customHeight="1">
      <c r="B195" s="6"/>
      <c r="C195" s="6"/>
      <c r="D195" s="6"/>
      <c r="E195" s="6"/>
    </row>
    <row r="196" ht="15.75" customHeight="1">
      <c r="B196" s="6"/>
      <c r="C196" s="6"/>
      <c r="D196" s="6"/>
      <c r="E196" s="6"/>
    </row>
    <row r="197" ht="15.75" customHeight="1">
      <c r="B197" s="6"/>
      <c r="C197" s="6"/>
      <c r="D197" s="6"/>
      <c r="E197" s="6"/>
    </row>
    <row r="198" ht="15.75" customHeight="1">
      <c r="B198" s="6"/>
      <c r="C198" s="6"/>
      <c r="D198" s="6"/>
      <c r="E198" s="6"/>
    </row>
    <row r="199" ht="15.75" customHeight="1">
      <c r="B199" s="6"/>
      <c r="C199" s="6"/>
      <c r="D199" s="6"/>
      <c r="E199" s="6"/>
    </row>
    <row r="200" ht="15.75" customHeight="1">
      <c r="B200" s="6"/>
      <c r="C200" s="6"/>
      <c r="D200" s="6"/>
      <c r="E200" s="6"/>
    </row>
    <row r="201" ht="15.75" customHeight="1">
      <c r="B201" s="6"/>
      <c r="C201" s="6"/>
      <c r="D201" s="6"/>
      <c r="E201" s="6"/>
    </row>
    <row r="202" ht="15.75" customHeight="1">
      <c r="B202" s="6"/>
      <c r="C202" s="6"/>
      <c r="D202" s="6"/>
      <c r="E202" s="6"/>
    </row>
    <row r="203" ht="15.75" customHeight="1">
      <c r="B203" s="6"/>
      <c r="C203" s="6"/>
      <c r="D203" s="6"/>
      <c r="E203" s="6"/>
    </row>
    <row r="204" ht="15.75" customHeight="1">
      <c r="B204" s="6"/>
      <c r="C204" s="6"/>
      <c r="D204" s="6"/>
      <c r="E204" s="6"/>
    </row>
    <row r="205" ht="15.75" customHeight="1">
      <c r="B205" s="6"/>
      <c r="C205" s="6"/>
      <c r="D205" s="6"/>
      <c r="E205" s="6"/>
    </row>
    <row r="206" ht="15.75" customHeight="1">
      <c r="B206" s="6"/>
      <c r="C206" s="6"/>
      <c r="D206" s="6"/>
      <c r="E206" s="6"/>
    </row>
    <row r="207" ht="15.75" customHeight="1">
      <c r="B207" s="6"/>
      <c r="C207" s="6"/>
      <c r="D207" s="6"/>
      <c r="E207" s="6"/>
    </row>
    <row r="208" ht="15.75" customHeight="1">
      <c r="B208" s="6"/>
      <c r="C208" s="6"/>
      <c r="D208" s="6"/>
      <c r="E208" s="6"/>
    </row>
    <row r="209" ht="15.75" customHeight="1">
      <c r="B209" s="6"/>
      <c r="C209" s="6"/>
      <c r="D209" s="6"/>
      <c r="E209" s="6"/>
    </row>
    <row r="210" ht="15.75" customHeight="1">
      <c r="B210" s="6"/>
      <c r="C210" s="6"/>
      <c r="D210" s="6"/>
      <c r="E210" s="6"/>
    </row>
    <row r="211" ht="15.75" customHeight="1">
      <c r="B211" s="6"/>
      <c r="C211" s="6"/>
      <c r="D211" s="6"/>
      <c r="E211" s="6"/>
    </row>
    <row r="212" ht="15.75" customHeight="1">
      <c r="B212" s="6"/>
      <c r="C212" s="6"/>
      <c r="D212" s="6"/>
      <c r="E212" s="6"/>
    </row>
    <row r="213" ht="15.75" customHeight="1">
      <c r="B213" s="6"/>
      <c r="C213" s="6"/>
      <c r="D213" s="6"/>
      <c r="E213" s="6"/>
    </row>
    <row r="214" ht="15.75" customHeight="1">
      <c r="B214" s="6"/>
      <c r="C214" s="6"/>
      <c r="D214" s="6"/>
      <c r="E214" s="6"/>
    </row>
    <row r="215" ht="15.75" customHeight="1">
      <c r="B215" s="6"/>
      <c r="C215" s="6"/>
      <c r="D215" s="6"/>
      <c r="E215" s="6"/>
    </row>
    <row r="216" ht="15.75" customHeight="1">
      <c r="B216" s="6"/>
      <c r="C216" s="6"/>
      <c r="D216" s="6"/>
      <c r="E216" s="6"/>
    </row>
    <row r="217" ht="15.75" customHeight="1">
      <c r="B217" s="6"/>
      <c r="C217" s="6"/>
      <c r="D217" s="6"/>
      <c r="E217" s="6"/>
    </row>
    <row r="218" ht="15.75" customHeight="1">
      <c r="B218" s="6"/>
      <c r="C218" s="6"/>
      <c r="D218" s="6"/>
      <c r="E218" s="6"/>
    </row>
    <row r="219" ht="15.75" customHeight="1">
      <c r="B219" s="6"/>
      <c r="C219" s="6"/>
      <c r="D219" s="6"/>
      <c r="E219" s="6"/>
    </row>
    <row r="220" ht="15.75" customHeight="1">
      <c r="B220" s="6"/>
      <c r="C220" s="6"/>
      <c r="D220" s="6"/>
      <c r="E220" s="6"/>
    </row>
    <row r="221" ht="15.75" customHeight="1">
      <c r="B221" s="6"/>
      <c r="C221" s="6"/>
      <c r="D221" s="6"/>
      <c r="E221" s="6"/>
    </row>
    <row r="222" ht="15.75" customHeight="1">
      <c r="B222" s="6"/>
      <c r="C222" s="6"/>
      <c r="D222" s="6"/>
      <c r="E222" s="6"/>
    </row>
    <row r="223" ht="15.75" customHeight="1">
      <c r="B223" s="6"/>
      <c r="C223" s="6"/>
      <c r="D223" s="6"/>
      <c r="E223" s="6"/>
    </row>
    <row r="224" ht="15.75" customHeight="1">
      <c r="B224" s="6"/>
      <c r="C224" s="6"/>
      <c r="D224" s="6"/>
      <c r="E224" s="6"/>
    </row>
    <row r="225" ht="15.75" customHeight="1">
      <c r="B225" s="6"/>
      <c r="C225" s="6"/>
      <c r="D225" s="6"/>
      <c r="E225" s="6"/>
    </row>
    <row r="226" ht="15.75" customHeight="1">
      <c r="B226" s="6"/>
      <c r="C226" s="6"/>
      <c r="D226" s="6"/>
      <c r="E226" s="6"/>
    </row>
    <row r="227" ht="15.75" customHeight="1">
      <c r="B227" s="6"/>
      <c r="C227" s="6"/>
      <c r="D227" s="6"/>
      <c r="E227" s="6"/>
    </row>
    <row r="228" ht="15.75" customHeight="1">
      <c r="B228" s="6"/>
      <c r="C228" s="6"/>
      <c r="D228" s="6"/>
      <c r="E228" s="6"/>
    </row>
    <row r="229" ht="15.75" customHeight="1">
      <c r="B229" s="6"/>
      <c r="C229" s="6"/>
      <c r="D229" s="6"/>
      <c r="E229" s="6"/>
    </row>
    <row r="230" ht="15.75" customHeight="1">
      <c r="B230" s="6"/>
      <c r="C230" s="6"/>
      <c r="D230" s="6"/>
      <c r="E230" s="6"/>
    </row>
    <row r="231" ht="15.75" customHeight="1">
      <c r="B231" s="6"/>
      <c r="C231" s="6"/>
      <c r="D231" s="6"/>
      <c r="E231" s="6"/>
    </row>
    <row r="232" ht="15.75" customHeight="1">
      <c r="B232" s="6"/>
      <c r="C232" s="6"/>
      <c r="D232" s="6"/>
      <c r="E232" s="6"/>
    </row>
    <row r="233" ht="15.75" customHeight="1">
      <c r="B233" s="6"/>
      <c r="C233" s="6"/>
      <c r="D233" s="6"/>
      <c r="E233" s="6"/>
    </row>
    <row r="234" ht="15.75" customHeight="1">
      <c r="B234" s="6"/>
      <c r="C234" s="6"/>
      <c r="D234" s="6"/>
      <c r="E234" s="6"/>
    </row>
    <row r="235" ht="15.75" customHeight="1">
      <c r="B235" s="6"/>
      <c r="C235" s="6"/>
      <c r="D235" s="6"/>
      <c r="E235" s="6"/>
    </row>
    <row r="236" ht="15.75" customHeight="1">
      <c r="B236" s="6"/>
      <c r="C236" s="6"/>
      <c r="D236" s="6"/>
      <c r="E236" s="6"/>
    </row>
    <row r="237" ht="15.75" customHeight="1">
      <c r="B237" s="6"/>
      <c r="C237" s="6"/>
      <c r="D237" s="6"/>
      <c r="E237" s="6"/>
    </row>
    <row r="238" ht="15.75" customHeight="1">
      <c r="B238" s="6"/>
      <c r="C238" s="6"/>
      <c r="D238" s="6"/>
      <c r="E238" s="6"/>
    </row>
    <row r="239" ht="15.75" customHeight="1">
      <c r="B239" s="6"/>
      <c r="C239" s="6"/>
      <c r="D239" s="6"/>
      <c r="E239" s="6"/>
    </row>
    <row r="240" ht="15.75" customHeight="1">
      <c r="B240" s="6"/>
      <c r="C240" s="6"/>
      <c r="D240" s="6"/>
      <c r="E240" s="6"/>
    </row>
    <row r="241" ht="15.75" customHeight="1">
      <c r="B241" s="6"/>
      <c r="C241" s="6"/>
      <c r="D241" s="6"/>
      <c r="E241" s="6"/>
    </row>
    <row r="242" ht="15.75" customHeight="1">
      <c r="B242" s="6"/>
      <c r="C242" s="6"/>
      <c r="D242" s="6"/>
      <c r="E242" s="6"/>
    </row>
    <row r="243" ht="15.75" customHeight="1">
      <c r="B243" s="6"/>
      <c r="C243" s="6"/>
      <c r="D243" s="6"/>
      <c r="E243" s="6"/>
    </row>
    <row r="244" ht="15.75" customHeight="1">
      <c r="B244" s="6"/>
      <c r="C244" s="6"/>
      <c r="D244" s="6"/>
      <c r="E244" s="6"/>
    </row>
    <row r="245" ht="15.75" customHeight="1">
      <c r="B245" s="6"/>
      <c r="C245" s="6"/>
      <c r="D245" s="6"/>
      <c r="E245" s="6"/>
    </row>
    <row r="246" ht="15.75" customHeight="1">
      <c r="B246" s="6"/>
      <c r="C246" s="6"/>
      <c r="D246" s="6"/>
      <c r="E246" s="6"/>
    </row>
    <row r="247" ht="15.75" customHeight="1">
      <c r="B247" s="6"/>
      <c r="C247" s="6"/>
      <c r="D247" s="6"/>
      <c r="E247" s="6"/>
    </row>
    <row r="248" ht="15.75" customHeight="1">
      <c r="B248" s="6"/>
      <c r="C248" s="6"/>
      <c r="D248" s="6"/>
      <c r="E248" s="6"/>
    </row>
    <row r="249" ht="15.75" customHeight="1">
      <c r="B249" s="6"/>
      <c r="C249" s="6"/>
      <c r="D249" s="6"/>
      <c r="E249" s="6"/>
    </row>
    <row r="250" ht="15.75" customHeight="1">
      <c r="B250" s="6"/>
      <c r="C250" s="6"/>
      <c r="D250" s="6"/>
      <c r="E250" s="6"/>
    </row>
    <row r="251" ht="15.75" customHeight="1">
      <c r="B251" s="6"/>
      <c r="C251" s="6"/>
      <c r="D251" s="6"/>
      <c r="E251" s="6"/>
    </row>
    <row r="252" ht="15.75" customHeight="1">
      <c r="B252" s="6"/>
      <c r="C252" s="6"/>
      <c r="D252" s="6"/>
      <c r="E252" s="6"/>
    </row>
    <row r="253" ht="15.75" customHeight="1">
      <c r="B253" s="6"/>
      <c r="C253" s="6"/>
      <c r="D253" s="6"/>
      <c r="E253" s="6"/>
    </row>
    <row r="254" ht="15.75" customHeight="1">
      <c r="B254" s="6"/>
      <c r="C254" s="6"/>
      <c r="D254" s="6"/>
      <c r="E254" s="6"/>
    </row>
    <row r="255" ht="15.75" customHeight="1">
      <c r="B255" s="6"/>
      <c r="C255" s="6"/>
      <c r="D255" s="6"/>
      <c r="E255" s="6"/>
    </row>
    <row r="256" ht="15.75" customHeight="1">
      <c r="B256" s="6"/>
      <c r="C256" s="6"/>
      <c r="D256" s="6"/>
      <c r="E256" s="6"/>
    </row>
    <row r="257" ht="15.75" customHeight="1">
      <c r="B257" s="6"/>
      <c r="C257" s="6"/>
      <c r="D257" s="6"/>
      <c r="E257" s="6"/>
    </row>
    <row r="258" ht="15.75" customHeight="1">
      <c r="B258" s="6"/>
      <c r="C258" s="6"/>
      <c r="D258" s="6"/>
      <c r="E258" s="6"/>
    </row>
    <row r="259" ht="15.75" customHeight="1">
      <c r="B259" s="6"/>
      <c r="C259" s="6"/>
      <c r="D259" s="6"/>
      <c r="E259" s="6"/>
    </row>
    <row r="260" ht="15.75" customHeight="1">
      <c r="B260" s="6"/>
      <c r="C260" s="6"/>
      <c r="D260" s="6"/>
      <c r="E260" s="6"/>
    </row>
    <row r="261" ht="15.75" customHeight="1">
      <c r="B261" s="6"/>
      <c r="C261" s="6"/>
      <c r="D261" s="6"/>
      <c r="E261" s="6"/>
    </row>
    <row r="262" ht="15.75" customHeight="1">
      <c r="B262" s="6"/>
      <c r="C262" s="6"/>
      <c r="D262" s="6"/>
      <c r="E262" s="6"/>
    </row>
    <row r="263" ht="15.75" customHeight="1">
      <c r="B263" s="6"/>
      <c r="C263" s="6"/>
      <c r="D263" s="6"/>
      <c r="E263" s="6"/>
    </row>
    <row r="264" ht="15.75" customHeight="1">
      <c r="B264" s="6"/>
      <c r="C264" s="6"/>
      <c r="D264" s="6"/>
      <c r="E264" s="6"/>
    </row>
    <row r="265" ht="15.75" customHeight="1">
      <c r="B265" s="6"/>
      <c r="C265" s="6"/>
      <c r="D265" s="6"/>
      <c r="E265" s="6"/>
    </row>
    <row r="266" ht="15.75" customHeight="1">
      <c r="B266" s="6"/>
      <c r="C266" s="6"/>
      <c r="D266" s="6"/>
      <c r="E266" s="6"/>
    </row>
    <row r="267" ht="15.75" customHeight="1">
      <c r="B267" s="6"/>
      <c r="C267" s="6"/>
      <c r="D267" s="6"/>
      <c r="E267" s="6"/>
    </row>
    <row r="268" ht="15.75" customHeight="1">
      <c r="B268" s="6"/>
      <c r="C268" s="6"/>
      <c r="D268" s="6"/>
      <c r="E268" s="6"/>
    </row>
    <row r="269" ht="15.75" customHeight="1">
      <c r="B269" s="6"/>
      <c r="C269" s="6"/>
      <c r="D269" s="6"/>
      <c r="E269" s="6"/>
    </row>
    <row r="270" ht="15.75" customHeight="1">
      <c r="B270" s="6"/>
      <c r="C270" s="6"/>
      <c r="D270" s="6"/>
      <c r="E270" s="6"/>
    </row>
    <row r="271" ht="15.75" customHeight="1">
      <c r="B271" s="6"/>
      <c r="C271" s="6"/>
      <c r="D271" s="6"/>
      <c r="E271" s="6"/>
    </row>
    <row r="272" ht="15.75" customHeight="1">
      <c r="B272" s="6"/>
      <c r="C272" s="6"/>
      <c r="D272" s="6"/>
      <c r="E272" s="6"/>
    </row>
    <row r="273" ht="15.75" customHeight="1">
      <c r="B273" s="6"/>
      <c r="C273" s="6"/>
      <c r="D273" s="6"/>
      <c r="E273" s="6"/>
    </row>
    <row r="274" ht="15.75" customHeight="1">
      <c r="B274" s="6"/>
      <c r="C274" s="6"/>
      <c r="D274" s="6"/>
      <c r="E274" s="6"/>
    </row>
    <row r="275" ht="15.75" customHeight="1">
      <c r="B275" s="6"/>
      <c r="C275" s="6"/>
      <c r="D275" s="6"/>
      <c r="E275" s="6"/>
    </row>
    <row r="276" ht="15.75" customHeight="1">
      <c r="B276" s="6"/>
      <c r="C276" s="6"/>
      <c r="D276" s="6"/>
      <c r="E276" s="6"/>
    </row>
    <row r="277" ht="15.75" customHeight="1">
      <c r="B277" s="6"/>
      <c r="C277" s="6"/>
      <c r="D277" s="6"/>
      <c r="E277" s="6"/>
    </row>
    <row r="278" ht="15.75" customHeight="1">
      <c r="B278" s="6"/>
      <c r="C278" s="6"/>
      <c r="D278" s="6"/>
      <c r="E278" s="6"/>
    </row>
    <row r="279" ht="15.75" customHeight="1">
      <c r="B279" s="6"/>
      <c r="C279" s="6"/>
      <c r="D279" s="6"/>
      <c r="E279" s="6"/>
    </row>
    <row r="280" ht="15.75" customHeight="1">
      <c r="B280" s="6"/>
      <c r="C280" s="6"/>
      <c r="D280" s="6"/>
      <c r="E280" s="6"/>
    </row>
    <row r="281" ht="15.75" customHeight="1">
      <c r="B281" s="6"/>
      <c r="C281" s="6"/>
      <c r="D281" s="6"/>
      <c r="E281" s="6"/>
    </row>
    <row r="282" ht="15.75" customHeight="1">
      <c r="B282" s="6"/>
      <c r="C282" s="6"/>
      <c r="D282" s="6"/>
      <c r="E282" s="6"/>
    </row>
    <row r="283" ht="15.75" customHeight="1">
      <c r="B283" s="6"/>
      <c r="C283" s="6"/>
      <c r="D283" s="6"/>
      <c r="E283" s="6"/>
    </row>
    <row r="284" ht="15.75" customHeight="1">
      <c r="B284" s="6"/>
      <c r="C284" s="6"/>
      <c r="D284" s="6"/>
      <c r="E284" s="6"/>
    </row>
    <row r="285" ht="15.75" customHeight="1">
      <c r="B285" s="6"/>
      <c r="C285" s="6"/>
      <c r="D285" s="6"/>
      <c r="E285" s="6"/>
    </row>
    <row r="286" ht="15.75" customHeight="1">
      <c r="B286" s="6"/>
      <c r="C286" s="6"/>
      <c r="D286" s="6"/>
      <c r="E286" s="6"/>
    </row>
    <row r="287" ht="15.75" customHeight="1">
      <c r="B287" s="6"/>
      <c r="C287" s="6"/>
      <c r="D287" s="6"/>
      <c r="E287" s="6"/>
    </row>
    <row r="288" ht="15.75" customHeight="1">
      <c r="B288" s="6"/>
      <c r="C288" s="6"/>
      <c r="D288" s="6"/>
      <c r="E288" s="6"/>
    </row>
    <row r="289" ht="15.75" customHeight="1">
      <c r="B289" s="6"/>
      <c r="C289" s="6"/>
      <c r="D289" s="6"/>
      <c r="E289" s="6"/>
    </row>
    <row r="290" ht="15.75" customHeight="1">
      <c r="B290" s="6"/>
      <c r="C290" s="6"/>
      <c r="D290" s="6"/>
      <c r="E290" s="6"/>
    </row>
    <row r="291" ht="15.75" customHeight="1">
      <c r="B291" s="6"/>
      <c r="C291" s="6"/>
      <c r="D291" s="6"/>
      <c r="E291" s="6"/>
    </row>
    <row r="292" ht="15.75" customHeight="1">
      <c r="B292" s="6"/>
      <c r="C292" s="6"/>
      <c r="D292" s="6"/>
      <c r="E292" s="6"/>
    </row>
    <row r="293" ht="15.75" customHeight="1">
      <c r="B293" s="6"/>
      <c r="C293" s="6"/>
      <c r="D293" s="6"/>
      <c r="E293" s="6"/>
    </row>
    <row r="294" ht="15.75" customHeight="1">
      <c r="B294" s="6"/>
      <c r="C294" s="6"/>
      <c r="D294" s="6"/>
      <c r="E294" s="6"/>
    </row>
    <row r="295" ht="15.75" customHeight="1">
      <c r="B295" s="6"/>
      <c r="C295" s="6"/>
      <c r="D295" s="6"/>
      <c r="E295" s="6"/>
    </row>
    <row r="296" ht="15.75" customHeight="1">
      <c r="B296" s="6"/>
      <c r="C296" s="6"/>
      <c r="D296" s="6"/>
      <c r="E296" s="6"/>
    </row>
    <row r="297" ht="15.75" customHeight="1">
      <c r="B297" s="6"/>
      <c r="C297" s="6"/>
      <c r="D297" s="6"/>
      <c r="E297" s="6"/>
    </row>
    <row r="298" ht="15.75" customHeight="1">
      <c r="B298" s="6"/>
      <c r="C298" s="6"/>
      <c r="D298" s="6"/>
      <c r="E298" s="6"/>
    </row>
    <row r="299" ht="15.75" customHeight="1">
      <c r="B299" s="6"/>
      <c r="C299" s="6"/>
      <c r="D299" s="6"/>
      <c r="E299" s="6"/>
    </row>
    <row r="300" ht="15.75" customHeight="1">
      <c r="B300" s="6"/>
      <c r="C300" s="6"/>
      <c r="D300" s="6"/>
      <c r="E300" s="6"/>
    </row>
    <row r="301" ht="15.75" customHeight="1">
      <c r="B301" s="6"/>
      <c r="C301" s="6"/>
      <c r="D301" s="6"/>
      <c r="E301" s="6"/>
    </row>
    <row r="302" ht="15.75" customHeight="1">
      <c r="B302" s="6"/>
      <c r="C302" s="6"/>
      <c r="D302" s="6"/>
      <c r="E302" s="6"/>
    </row>
    <row r="303" ht="15.75" customHeight="1">
      <c r="B303" s="6"/>
      <c r="C303" s="6"/>
      <c r="D303" s="6"/>
      <c r="E303" s="6"/>
    </row>
    <row r="304" ht="15.75" customHeight="1">
      <c r="B304" s="6"/>
      <c r="C304" s="6"/>
      <c r="D304" s="6"/>
      <c r="E304" s="6"/>
    </row>
    <row r="305" ht="15.75" customHeight="1">
      <c r="B305" s="6"/>
      <c r="C305" s="6"/>
      <c r="D305" s="6"/>
      <c r="E305" s="6"/>
    </row>
    <row r="306" ht="15.75" customHeight="1">
      <c r="B306" s="6"/>
      <c r="C306" s="6"/>
      <c r="D306" s="6"/>
      <c r="E306" s="6"/>
    </row>
    <row r="307" ht="15.75" customHeight="1">
      <c r="B307" s="6"/>
      <c r="C307" s="6"/>
      <c r="D307" s="6"/>
      <c r="E307" s="6"/>
    </row>
    <row r="308" ht="15.75" customHeight="1">
      <c r="B308" s="6"/>
      <c r="C308" s="6"/>
      <c r="D308" s="6"/>
      <c r="E308" s="6"/>
    </row>
    <row r="309" ht="15.75" customHeight="1">
      <c r="B309" s="6"/>
      <c r="C309" s="6"/>
      <c r="D309" s="6"/>
      <c r="E309" s="6"/>
    </row>
    <row r="310" ht="15.75" customHeight="1">
      <c r="B310" s="6"/>
      <c r="C310" s="6"/>
      <c r="D310" s="6"/>
      <c r="E310" s="6"/>
    </row>
    <row r="311" ht="15.75" customHeight="1">
      <c r="B311" s="6"/>
      <c r="C311" s="6"/>
      <c r="D311" s="6"/>
      <c r="E311" s="6"/>
    </row>
    <row r="312" ht="15.75" customHeight="1">
      <c r="B312" s="6"/>
      <c r="C312" s="6"/>
      <c r="D312" s="6"/>
      <c r="E312" s="6"/>
    </row>
    <row r="313" ht="15.75" customHeight="1">
      <c r="B313" s="6"/>
      <c r="C313" s="6"/>
      <c r="D313" s="6"/>
      <c r="E313" s="6"/>
    </row>
    <row r="314" ht="15.75" customHeight="1">
      <c r="B314" s="6"/>
      <c r="C314" s="6"/>
      <c r="D314" s="6"/>
      <c r="E314" s="6"/>
    </row>
    <row r="315" ht="15.75" customHeight="1">
      <c r="B315" s="6"/>
      <c r="C315" s="6"/>
      <c r="D315" s="6"/>
      <c r="E315" s="6"/>
    </row>
    <row r="316" ht="15.75" customHeight="1">
      <c r="B316" s="6"/>
      <c r="C316" s="6"/>
      <c r="D316" s="6"/>
      <c r="E316" s="6"/>
    </row>
    <row r="317" ht="15.75" customHeight="1">
      <c r="B317" s="6"/>
      <c r="C317" s="6"/>
      <c r="D317" s="6"/>
      <c r="E317" s="6"/>
    </row>
    <row r="318" ht="15.75" customHeight="1">
      <c r="B318" s="6"/>
      <c r="C318" s="6"/>
      <c r="D318" s="6"/>
      <c r="E318" s="6"/>
    </row>
    <row r="319" ht="15.75" customHeight="1">
      <c r="B319" s="6"/>
      <c r="C319" s="6"/>
      <c r="D319" s="6"/>
      <c r="E319" s="6"/>
    </row>
    <row r="320" ht="15.75" customHeight="1">
      <c r="B320" s="6"/>
      <c r="C320" s="6"/>
      <c r="D320" s="6"/>
      <c r="E320" s="6"/>
    </row>
    <row r="321" ht="15.75" customHeight="1">
      <c r="B321" s="6"/>
      <c r="C321" s="6"/>
      <c r="D321" s="6"/>
      <c r="E321" s="6"/>
    </row>
    <row r="322" ht="15.75" customHeight="1">
      <c r="B322" s="6"/>
      <c r="C322" s="6"/>
      <c r="D322" s="6"/>
      <c r="E322" s="6"/>
    </row>
    <row r="323" ht="15.75" customHeight="1">
      <c r="B323" s="6"/>
      <c r="C323" s="6"/>
      <c r="D323" s="6"/>
      <c r="E323" s="6"/>
    </row>
    <row r="324" ht="15.75" customHeight="1">
      <c r="B324" s="6"/>
      <c r="C324" s="6"/>
      <c r="D324" s="6"/>
      <c r="E324" s="6"/>
    </row>
    <row r="325" ht="15.75" customHeight="1">
      <c r="B325" s="6"/>
      <c r="C325" s="6"/>
      <c r="D325" s="6"/>
      <c r="E325" s="6"/>
    </row>
    <row r="326" ht="15.75" customHeight="1">
      <c r="B326" s="6"/>
      <c r="C326" s="6"/>
      <c r="D326" s="6"/>
      <c r="E326" s="6"/>
    </row>
    <row r="327" ht="15.75" customHeight="1">
      <c r="B327" s="6"/>
      <c r="C327" s="6"/>
      <c r="D327" s="6"/>
      <c r="E327" s="6"/>
    </row>
    <row r="328" ht="15.75" customHeight="1">
      <c r="B328" s="6"/>
      <c r="C328" s="6"/>
      <c r="D328" s="6"/>
      <c r="E328" s="6"/>
    </row>
    <row r="329" ht="15.75" customHeight="1">
      <c r="B329" s="6"/>
      <c r="C329" s="6"/>
      <c r="D329" s="6"/>
      <c r="E329" s="6"/>
    </row>
    <row r="330" ht="15.75" customHeight="1">
      <c r="B330" s="6"/>
      <c r="C330" s="6"/>
      <c r="D330" s="6"/>
      <c r="E330" s="6"/>
    </row>
    <row r="331" ht="15.75" customHeight="1">
      <c r="B331" s="6"/>
      <c r="C331" s="6"/>
      <c r="D331" s="6"/>
      <c r="E331" s="6"/>
    </row>
    <row r="332" ht="15.75" customHeight="1">
      <c r="B332" s="6"/>
      <c r="C332" s="6"/>
      <c r="D332" s="6"/>
      <c r="E332" s="6"/>
    </row>
    <row r="333" ht="15.75" customHeight="1">
      <c r="B333" s="6"/>
      <c r="C333" s="6"/>
      <c r="D333" s="6"/>
      <c r="E333" s="6"/>
    </row>
    <row r="334" ht="15.75" customHeight="1">
      <c r="B334" s="6"/>
      <c r="C334" s="6"/>
      <c r="D334" s="6"/>
      <c r="E334" s="6"/>
    </row>
    <row r="335" ht="15.75" customHeight="1">
      <c r="B335" s="6"/>
      <c r="C335" s="6"/>
      <c r="D335" s="6"/>
      <c r="E335" s="6"/>
    </row>
    <row r="336" ht="15.75" customHeight="1">
      <c r="B336" s="6"/>
      <c r="C336" s="6"/>
      <c r="D336" s="6"/>
      <c r="E336" s="6"/>
    </row>
    <row r="337" ht="15.75" customHeight="1">
      <c r="B337" s="6"/>
      <c r="C337" s="6"/>
      <c r="D337" s="6"/>
      <c r="E337" s="6"/>
    </row>
    <row r="338" ht="15.75" customHeight="1">
      <c r="B338" s="6"/>
      <c r="C338" s="6"/>
      <c r="D338" s="6"/>
      <c r="E338" s="6"/>
    </row>
    <row r="339" ht="15.75" customHeight="1">
      <c r="B339" s="6"/>
      <c r="C339" s="6"/>
      <c r="D339" s="6"/>
      <c r="E339" s="6"/>
    </row>
    <row r="340" ht="15.75" customHeight="1">
      <c r="B340" s="6"/>
      <c r="C340" s="6"/>
      <c r="D340" s="6"/>
      <c r="E340" s="6"/>
    </row>
    <row r="341" ht="15.75" customHeight="1">
      <c r="B341" s="6"/>
      <c r="C341" s="6"/>
      <c r="D341" s="6"/>
      <c r="E341" s="6"/>
    </row>
    <row r="342" ht="15.75" customHeight="1">
      <c r="B342" s="6"/>
      <c r="C342" s="6"/>
      <c r="D342" s="6"/>
      <c r="E342" s="6"/>
    </row>
    <row r="343" ht="15.75" customHeight="1">
      <c r="B343" s="6"/>
      <c r="C343" s="6"/>
      <c r="D343" s="6"/>
      <c r="E343" s="6"/>
    </row>
    <row r="344" ht="15.75" customHeight="1">
      <c r="B344" s="6"/>
      <c r="C344" s="6"/>
      <c r="D344" s="6"/>
      <c r="E344" s="6"/>
    </row>
    <row r="345" ht="15.75" customHeight="1">
      <c r="B345" s="6"/>
      <c r="C345" s="6"/>
      <c r="D345" s="6"/>
      <c r="E345" s="6"/>
    </row>
    <row r="346" ht="15.75" customHeight="1">
      <c r="B346" s="6"/>
      <c r="C346" s="6"/>
      <c r="D346" s="6"/>
      <c r="E346" s="6"/>
    </row>
    <row r="347" ht="15.75" customHeight="1">
      <c r="B347" s="6"/>
      <c r="C347" s="6"/>
      <c r="D347" s="6"/>
      <c r="E347" s="6"/>
    </row>
    <row r="348" ht="15.75" customHeight="1">
      <c r="B348" s="6"/>
      <c r="C348" s="6"/>
      <c r="D348" s="6"/>
      <c r="E348" s="6"/>
    </row>
    <row r="349" ht="15.75" customHeight="1">
      <c r="B349" s="6"/>
      <c r="C349" s="6"/>
      <c r="D349" s="6"/>
      <c r="E349" s="6"/>
    </row>
    <row r="350" ht="15.75" customHeight="1">
      <c r="B350" s="6"/>
      <c r="C350" s="6"/>
      <c r="D350" s="6"/>
      <c r="E350" s="6"/>
    </row>
    <row r="351" ht="15.75" customHeight="1">
      <c r="B351" s="6"/>
      <c r="C351" s="6"/>
      <c r="D351" s="6"/>
      <c r="E351" s="6"/>
    </row>
    <row r="352" ht="15.75" customHeight="1">
      <c r="B352" s="6"/>
      <c r="C352" s="6"/>
      <c r="D352" s="6"/>
      <c r="E352" s="6"/>
    </row>
    <row r="353" ht="15.75" customHeight="1">
      <c r="B353" s="6"/>
      <c r="C353" s="6"/>
      <c r="D353" s="6"/>
      <c r="E353" s="6"/>
    </row>
    <row r="354" ht="15.75" customHeight="1">
      <c r="B354" s="6"/>
      <c r="C354" s="6"/>
      <c r="D354" s="6"/>
      <c r="E354" s="6"/>
    </row>
    <row r="355" ht="15.75" customHeight="1">
      <c r="B355" s="6"/>
      <c r="C355" s="6"/>
      <c r="D355" s="6"/>
      <c r="E355" s="6"/>
    </row>
    <row r="356" ht="15.75" customHeight="1">
      <c r="B356" s="6"/>
      <c r="C356" s="6"/>
      <c r="D356" s="6"/>
      <c r="E356" s="6"/>
    </row>
    <row r="357" ht="15.75" customHeight="1">
      <c r="B357" s="6"/>
      <c r="C357" s="6"/>
      <c r="D357" s="6"/>
      <c r="E357" s="6"/>
    </row>
    <row r="358" ht="15.75" customHeight="1">
      <c r="B358" s="6"/>
      <c r="C358" s="6"/>
      <c r="D358" s="6"/>
      <c r="E358" s="6"/>
    </row>
    <row r="359" ht="15.75" customHeight="1">
      <c r="B359" s="6"/>
      <c r="C359" s="6"/>
      <c r="D359" s="6"/>
      <c r="E359" s="6"/>
    </row>
    <row r="360" ht="15.75" customHeight="1">
      <c r="B360" s="6"/>
      <c r="C360" s="6"/>
      <c r="D360" s="6"/>
      <c r="E360" s="6"/>
    </row>
    <row r="361" ht="15.75" customHeight="1">
      <c r="B361" s="6"/>
      <c r="C361" s="6"/>
      <c r="D361" s="6"/>
      <c r="E361" s="6"/>
    </row>
    <row r="362" ht="15.75" customHeight="1">
      <c r="B362" s="6"/>
      <c r="C362" s="6"/>
      <c r="D362" s="6"/>
      <c r="E362" s="6"/>
    </row>
    <row r="363" ht="15.75" customHeight="1">
      <c r="B363" s="6"/>
      <c r="C363" s="6"/>
      <c r="D363" s="6"/>
      <c r="E363" s="6"/>
    </row>
    <row r="364" ht="15.75" customHeight="1">
      <c r="B364" s="6"/>
      <c r="C364" s="6"/>
      <c r="D364" s="6"/>
      <c r="E364" s="6"/>
    </row>
    <row r="365" ht="15.75" customHeight="1">
      <c r="B365" s="6"/>
      <c r="C365" s="6"/>
      <c r="D365" s="6"/>
      <c r="E365" s="6"/>
    </row>
    <row r="366" ht="15.75" customHeight="1">
      <c r="B366" s="6"/>
      <c r="C366" s="6"/>
      <c r="D366" s="6"/>
      <c r="E366" s="6"/>
    </row>
    <row r="367" ht="15.75" customHeight="1">
      <c r="B367" s="6"/>
      <c r="C367" s="6"/>
      <c r="D367" s="6"/>
      <c r="E367" s="6"/>
    </row>
    <row r="368" ht="15.75" customHeight="1">
      <c r="B368" s="6"/>
      <c r="C368" s="6"/>
      <c r="D368" s="6"/>
      <c r="E368" s="6"/>
    </row>
    <row r="369" ht="15.75" customHeight="1">
      <c r="B369" s="6"/>
      <c r="C369" s="6"/>
      <c r="D369" s="6"/>
      <c r="E369" s="6"/>
    </row>
    <row r="370" ht="15.75" customHeight="1">
      <c r="B370" s="6"/>
      <c r="C370" s="6"/>
      <c r="D370" s="6"/>
      <c r="E370" s="6"/>
    </row>
    <row r="371" ht="15.75" customHeight="1">
      <c r="B371" s="6"/>
      <c r="C371" s="6"/>
      <c r="D371" s="6"/>
      <c r="E371" s="6"/>
    </row>
    <row r="372" ht="15.75" customHeight="1">
      <c r="B372" s="6"/>
      <c r="C372" s="6"/>
      <c r="D372" s="6"/>
      <c r="E372" s="6"/>
    </row>
    <row r="373" ht="15.75" customHeight="1">
      <c r="B373" s="6"/>
      <c r="C373" s="6"/>
      <c r="D373" s="6"/>
      <c r="E373" s="6"/>
    </row>
    <row r="374" ht="15.75" customHeight="1">
      <c r="B374" s="6"/>
      <c r="C374" s="6"/>
      <c r="D374" s="6"/>
      <c r="E374" s="6"/>
    </row>
    <row r="375" ht="15.75" customHeight="1">
      <c r="B375" s="6"/>
      <c r="C375" s="6"/>
      <c r="D375" s="6"/>
      <c r="E375" s="6"/>
    </row>
    <row r="376" ht="15.75" customHeight="1">
      <c r="B376" s="6"/>
      <c r="C376" s="6"/>
      <c r="D376" s="6"/>
      <c r="E376" s="6"/>
    </row>
    <row r="377" ht="15.75" customHeight="1">
      <c r="B377" s="6"/>
      <c r="C377" s="6"/>
      <c r="D377" s="6"/>
      <c r="E377" s="6"/>
    </row>
    <row r="378" ht="15.75" customHeight="1">
      <c r="B378" s="6"/>
      <c r="C378" s="6"/>
      <c r="D378" s="6"/>
      <c r="E378" s="6"/>
    </row>
    <row r="379" ht="15.75" customHeight="1">
      <c r="B379" s="6"/>
      <c r="C379" s="6"/>
      <c r="D379" s="6"/>
      <c r="E379" s="6"/>
    </row>
    <row r="380" ht="15.75" customHeight="1">
      <c r="B380" s="6"/>
      <c r="C380" s="6"/>
      <c r="D380" s="6"/>
      <c r="E380" s="6"/>
    </row>
    <row r="381" ht="15.75" customHeight="1">
      <c r="B381" s="6"/>
      <c r="C381" s="6"/>
      <c r="D381" s="6"/>
      <c r="E381" s="6"/>
    </row>
    <row r="382" ht="15.75" customHeight="1">
      <c r="B382" s="6"/>
      <c r="C382" s="6"/>
      <c r="D382" s="6"/>
      <c r="E382" s="6"/>
    </row>
    <row r="383" ht="15.75" customHeight="1">
      <c r="B383" s="6"/>
      <c r="C383" s="6"/>
      <c r="D383" s="6"/>
      <c r="E383" s="6"/>
    </row>
    <row r="384" ht="15.75" customHeight="1">
      <c r="B384" s="6"/>
      <c r="C384" s="6"/>
      <c r="D384" s="6"/>
      <c r="E384" s="6"/>
    </row>
    <row r="385" ht="15.75" customHeight="1">
      <c r="B385" s="6"/>
      <c r="C385" s="6"/>
      <c r="D385" s="6"/>
      <c r="E385" s="6"/>
    </row>
    <row r="386" ht="15.75" customHeight="1">
      <c r="B386" s="6"/>
      <c r="C386" s="6"/>
      <c r="D386" s="6"/>
      <c r="E386" s="6"/>
    </row>
    <row r="387" ht="15.75" customHeight="1">
      <c r="B387" s="6"/>
      <c r="C387" s="6"/>
      <c r="D387" s="6"/>
      <c r="E387" s="6"/>
    </row>
    <row r="388" ht="15.75" customHeight="1">
      <c r="B388" s="6"/>
      <c r="C388" s="6"/>
      <c r="D388" s="6"/>
      <c r="E388" s="6"/>
    </row>
    <row r="389" ht="15.75" customHeight="1">
      <c r="B389" s="6"/>
      <c r="C389" s="6"/>
      <c r="D389" s="6"/>
      <c r="E389" s="6"/>
    </row>
    <row r="390" ht="15.75" customHeight="1">
      <c r="B390" s="6"/>
      <c r="C390" s="6"/>
      <c r="D390" s="6"/>
      <c r="E390" s="6"/>
    </row>
    <row r="391" ht="15.75" customHeight="1">
      <c r="B391" s="6"/>
      <c r="C391" s="6"/>
      <c r="D391" s="6"/>
      <c r="E391" s="6"/>
    </row>
    <row r="392" ht="15.75" customHeight="1">
      <c r="B392" s="6"/>
      <c r="C392" s="6"/>
      <c r="D392" s="6"/>
      <c r="E392" s="6"/>
    </row>
    <row r="393" ht="15.75" customHeight="1">
      <c r="B393" s="6"/>
      <c r="C393" s="6"/>
      <c r="D393" s="6"/>
      <c r="E393" s="6"/>
    </row>
    <row r="394" ht="15.75" customHeight="1">
      <c r="B394" s="6"/>
      <c r="C394" s="6"/>
      <c r="D394" s="6"/>
      <c r="E394" s="6"/>
    </row>
    <row r="395" ht="15.75" customHeight="1">
      <c r="B395" s="6"/>
      <c r="C395" s="6"/>
      <c r="D395" s="6"/>
      <c r="E395" s="6"/>
    </row>
    <row r="396" ht="15.75" customHeight="1">
      <c r="B396" s="6"/>
      <c r="C396" s="6"/>
      <c r="D396" s="6"/>
      <c r="E396" s="6"/>
    </row>
    <row r="397" ht="15.75" customHeight="1">
      <c r="B397" s="6"/>
      <c r="C397" s="6"/>
      <c r="D397" s="6"/>
      <c r="E397" s="6"/>
    </row>
    <row r="398" ht="15.75" customHeight="1">
      <c r="B398" s="6"/>
      <c r="C398" s="6"/>
      <c r="D398" s="6"/>
      <c r="E398" s="6"/>
    </row>
    <row r="399" ht="15.75" customHeight="1">
      <c r="B399" s="6"/>
      <c r="C399" s="6"/>
      <c r="D399" s="6"/>
      <c r="E399" s="6"/>
    </row>
    <row r="400" ht="15.75" customHeight="1">
      <c r="B400" s="6"/>
      <c r="C400" s="6"/>
      <c r="D400" s="6"/>
      <c r="E400" s="6"/>
    </row>
    <row r="401" ht="15.75" customHeight="1">
      <c r="B401" s="6"/>
      <c r="C401" s="6"/>
      <c r="D401" s="6"/>
      <c r="E401" s="6"/>
    </row>
    <row r="402" ht="15.75" customHeight="1">
      <c r="B402" s="6"/>
      <c r="C402" s="6"/>
      <c r="D402" s="6"/>
      <c r="E402" s="6"/>
    </row>
    <row r="403" ht="15.75" customHeight="1">
      <c r="B403" s="6"/>
      <c r="C403" s="6"/>
      <c r="D403" s="6"/>
      <c r="E403" s="6"/>
    </row>
    <row r="404" ht="15.75" customHeight="1">
      <c r="B404" s="6"/>
      <c r="C404" s="6"/>
      <c r="D404" s="6"/>
      <c r="E404" s="6"/>
    </row>
    <row r="405" ht="15.75" customHeight="1">
      <c r="B405" s="6"/>
      <c r="C405" s="6"/>
      <c r="D405" s="6"/>
      <c r="E405" s="6"/>
    </row>
    <row r="406" ht="15.75" customHeight="1">
      <c r="B406" s="6"/>
      <c r="C406" s="6"/>
      <c r="D406" s="6"/>
      <c r="E406" s="6"/>
    </row>
    <row r="407" ht="15.75" customHeight="1">
      <c r="B407" s="6"/>
      <c r="C407" s="6"/>
      <c r="D407" s="6"/>
      <c r="E407" s="6"/>
    </row>
    <row r="408" ht="15.75" customHeight="1">
      <c r="B408" s="6"/>
      <c r="C408" s="6"/>
      <c r="D408" s="6"/>
      <c r="E408" s="6"/>
    </row>
    <row r="409" ht="15.75" customHeight="1">
      <c r="B409" s="6"/>
      <c r="C409" s="6"/>
      <c r="D409" s="6"/>
      <c r="E409" s="6"/>
    </row>
    <row r="410" ht="15.75" customHeight="1">
      <c r="B410" s="6"/>
      <c r="C410" s="6"/>
      <c r="D410" s="6"/>
      <c r="E410" s="6"/>
    </row>
    <row r="411" ht="15.75" customHeight="1">
      <c r="B411" s="6"/>
      <c r="C411" s="6"/>
      <c r="D411" s="6"/>
      <c r="E411" s="6"/>
    </row>
    <row r="412" ht="15.75" customHeight="1">
      <c r="B412" s="6"/>
      <c r="C412" s="6"/>
      <c r="D412" s="6"/>
      <c r="E412" s="6"/>
    </row>
    <row r="413" ht="15.75" customHeight="1">
      <c r="B413" s="6"/>
      <c r="C413" s="6"/>
      <c r="D413" s="6"/>
      <c r="E413" s="6"/>
    </row>
    <row r="414" ht="15.75" customHeight="1">
      <c r="B414" s="6"/>
      <c r="C414" s="6"/>
      <c r="D414" s="6"/>
      <c r="E414" s="6"/>
    </row>
    <row r="415" ht="15.75" customHeight="1">
      <c r="B415" s="6"/>
      <c r="C415" s="6"/>
      <c r="D415" s="6"/>
      <c r="E415" s="6"/>
    </row>
    <row r="416" ht="15.75" customHeight="1">
      <c r="B416" s="6"/>
      <c r="C416" s="6"/>
      <c r="D416" s="6"/>
      <c r="E416" s="6"/>
    </row>
    <row r="417" ht="15.75" customHeight="1">
      <c r="B417" s="6"/>
      <c r="C417" s="6"/>
      <c r="D417" s="6"/>
      <c r="E417" s="6"/>
    </row>
    <row r="418" ht="15.75" customHeight="1">
      <c r="B418" s="6"/>
      <c r="C418" s="6"/>
      <c r="D418" s="6"/>
      <c r="E418" s="6"/>
    </row>
    <row r="419" ht="15.75" customHeight="1">
      <c r="B419" s="6"/>
      <c r="C419" s="6"/>
      <c r="D419" s="6"/>
      <c r="E419" s="6"/>
    </row>
    <row r="420" ht="15.75" customHeight="1">
      <c r="B420" s="6"/>
      <c r="C420" s="6"/>
      <c r="D420" s="6"/>
      <c r="E420" s="6"/>
    </row>
    <row r="421" ht="15.75" customHeight="1">
      <c r="B421" s="6"/>
      <c r="C421" s="6"/>
      <c r="D421" s="6"/>
      <c r="E421" s="6"/>
    </row>
    <row r="422" ht="15.75" customHeight="1">
      <c r="B422" s="6"/>
      <c r="C422" s="6"/>
      <c r="D422" s="6"/>
      <c r="E422" s="6"/>
    </row>
    <row r="423" ht="15.75" customHeight="1">
      <c r="B423" s="6"/>
      <c r="C423" s="6"/>
      <c r="D423" s="6"/>
      <c r="E423" s="6"/>
    </row>
    <row r="424" ht="15.75" customHeight="1">
      <c r="B424" s="6"/>
      <c r="C424" s="6"/>
      <c r="D424" s="6"/>
      <c r="E424" s="6"/>
    </row>
    <row r="425" ht="15.75" customHeight="1">
      <c r="B425" s="6"/>
      <c r="C425" s="6"/>
      <c r="D425" s="6"/>
      <c r="E425" s="6"/>
    </row>
    <row r="426" ht="15.75" customHeight="1">
      <c r="B426" s="6"/>
      <c r="C426" s="6"/>
      <c r="D426" s="6"/>
      <c r="E426" s="6"/>
    </row>
    <row r="427" ht="15.75" customHeight="1">
      <c r="B427" s="6"/>
      <c r="C427" s="6"/>
      <c r="D427" s="6"/>
      <c r="E427" s="6"/>
    </row>
    <row r="428" ht="15.75" customHeight="1">
      <c r="B428" s="6"/>
      <c r="C428" s="6"/>
      <c r="D428" s="6"/>
      <c r="E428" s="6"/>
    </row>
    <row r="429" ht="15.75" customHeight="1">
      <c r="B429" s="6"/>
      <c r="C429" s="6"/>
      <c r="D429" s="6"/>
      <c r="E429" s="6"/>
    </row>
    <row r="430" ht="15.75" customHeight="1">
      <c r="B430" s="6"/>
      <c r="C430" s="6"/>
      <c r="D430" s="6"/>
      <c r="E430" s="6"/>
    </row>
    <row r="431" ht="15.75" customHeight="1">
      <c r="B431" s="6"/>
      <c r="C431" s="6"/>
      <c r="D431" s="6"/>
      <c r="E431" s="6"/>
    </row>
    <row r="432" ht="15.75" customHeight="1">
      <c r="B432" s="6"/>
      <c r="C432" s="6"/>
      <c r="D432" s="6"/>
      <c r="E432" s="6"/>
    </row>
    <row r="433" ht="15.75" customHeight="1">
      <c r="B433" s="6"/>
      <c r="C433" s="6"/>
      <c r="D433" s="6"/>
      <c r="E433" s="6"/>
    </row>
    <row r="434" ht="15.75" customHeight="1">
      <c r="B434" s="6"/>
      <c r="C434" s="6"/>
      <c r="D434" s="6"/>
      <c r="E434" s="6"/>
    </row>
    <row r="435" ht="15.75" customHeight="1">
      <c r="B435" s="6"/>
      <c r="C435" s="6"/>
      <c r="D435" s="6"/>
      <c r="E435" s="6"/>
    </row>
    <row r="436" ht="15.75" customHeight="1">
      <c r="B436" s="6"/>
      <c r="C436" s="6"/>
      <c r="D436" s="6"/>
      <c r="E436" s="6"/>
    </row>
    <row r="437" ht="15.75" customHeight="1">
      <c r="B437" s="6"/>
      <c r="C437" s="6"/>
      <c r="D437" s="6"/>
      <c r="E437" s="6"/>
    </row>
    <row r="438" ht="15.75" customHeight="1">
      <c r="B438" s="6"/>
      <c r="C438" s="6"/>
      <c r="D438" s="6"/>
      <c r="E438" s="6"/>
    </row>
    <row r="439" ht="15.75" customHeight="1">
      <c r="B439" s="6"/>
      <c r="C439" s="6"/>
      <c r="D439" s="6"/>
      <c r="E439" s="6"/>
    </row>
    <row r="440" ht="15.75" customHeight="1">
      <c r="B440" s="6"/>
      <c r="C440" s="6"/>
      <c r="D440" s="6"/>
      <c r="E440" s="6"/>
    </row>
    <row r="441" ht="15.75" customHeight="1">
      <c r="B441" s="6"/>
      <c r="C441" s="6"/>
      <c r="D441" s="6"/>
      <c r="E441" s="6"/>
    </row>
    <row r="442" ht="15.75" customHeight="1">
      <c r="B442" s="6"/>
      <c r="C442" s="6"/>
      <c r="D442" s="6"/>
      <c r="E442" s="6"/>
    </row>
    <row r="443" ht="15.75" customHeight="1">
      <c r="B443" s="6"/>
      <c r="C443" s="6"/>
      <c r="D443" s="6"/>
      <c r="E443" s="6"/>
    </row>
    <row r="444" ht="15.75" customHeight="1">
      <c r="B444" s="6"/>
      <c r="C444" s="6"/>
      <c r="D444" s="6"/>
      <c r="E444" s="6"/>
    </row>
    <row r="445" ht="15.75" customHeight="1">
      <c r="B445" s="6"/>
      <c r="C445" s="6"/>
      <c r="D445" s="6"/>
      <c r="E445" s="6"/>
    </row>
    <row r="446" ht="15.75" customHeight="1">
      <c r="B446" s="6"/>
      <c r="C446" s="6"/>
      <c r="D446" s="6"/>
      <c r="E446" s="6"/>
    </row>
    <row r="447" ht="15.75" customHeight="1">
      <c r="B447" s="6"/>
      <c r="C447" s="6"/>
      <c r="D447" s="6"/>
      <c r="E447" s="6"/>
    </row>
    <row r="448" ht="15.75" customHeight="1">
      <c r="B448" s="6"/>
      <c r="C448" s="6"/>
      <c r="D448" s="6"/>
      <c r="E448" s="6"/>
    </row>
    <row r="449" ht="15.75" customHeight="1">
      <c r="B449" s="6"/>
      <c r="C449" s="6"/>
      <c r="D449" s="6"/>
      <c r="E449" s="6"/>
    </row>
    <row r="450" ht="15.75" customHeight="1">
      <c r="B450" s="6"/>
      <c r="C450" s="6"/>
      <c r="D450" s="6"/>
      <c r="E450" s="6"/>
    </row>
    <row r="451" ht="15.75" customHeight="1">
      <c r="B451" s="6"/>
      <c r="C451" s="6"/>
      <c r="D451" s="6"/>
      <c r="E451" s="6"/>
    </row>
    <row r="452" ht="15.75" customHeight="1">
      <c r="B452" s="6"/>
      <c r="C452" s="6"/>
      <c r="D452" s="6"/>
      <c r="E452" s="6"/>
    </row>
    <row r="453" ht="15.75" customHeight="1">
      <c r="B453" s="6"/>
      <c r="C453" s="6"/>
      <c r="D453" s="6"/>
      <c r="E453" s="6"/>
    </row>
    <row r="454" ht="15.75" customHeight="1">
      <c r="B454" s="6"/>
      <c r="C454" s="6"/>
      <c r="D454" s="6"/>
      <c r="E454" s="6"/>
    </row>
    <row r="455" ht="15.75" customHeight="1">
      <c r="B455" s="6"/>
      <c r="C455" s="6"/>
      <c r="D455" s="6"/>
      <c r="E455" s="6"/>
    </row>
    <row r="456" ht="15.75" customHeight="1">
      <c r="B456" s="6"/>
      <c r="C456" s="6"/>
      <c r="D456" s="6"/>
      <c r="E456" s="6"/>
    </row>
    <row r="457" ht="15.75" customHeight="1">
      <c r="B457" s="6"/>
      <c r="C457" s="6"/>
      <c r="D457" s="6"/>
      <c r="E457" s="6"/>
    </row>
    <row r="458" ht="15.75" customHeight="1">
      <c r="B458" s="6"/>
      <c r="C458" s="6"/>
      <c r="D458" s="6"/>
      <c r="E458" s="6"/>
    </row>
    <row r="459" ht="15.75" customHeight="1">
      <c r="B459" s="6"/>
      <c r="C459" s="6"/>
      <c r="D459" s="6"/>
      <c r="E459" s="6"/>
    </row>
    <row r="460" ht="15.75" customHeight="1">
      <c r="B460" s="6"/>
      <c r="C460" s="6"/>
      <c r="D460" s="6"/>
      <c r="E460" s="6"/>
    </row>
    <row r="461" ht="15.75" customHeight="1">
      <c r="B461" s="6"/>
      <c r="C461" s="6"/>
      <c r="D461" s="6"/>
      <c r="E461" s="6"/>
    </row>
    <row r="462" ht="15.75" customHeight="1">
      <c r="B462" s="6"/>
      <c r="C462" s="6"/>
      <c r="D462" s="6"/>
      <c r="E462" s="6"/>
    </row>
    <row r="463" ht="15.75" customHeight="1">
      <c r="B463" s="6"/>
      <c r="C463" s="6"/>
      <c r="D463" s="6"/>
      <c r="E463" s="6"/>
    </row>
    <row r="464" ht="15.75" customHeight="1">
      <c r="B464" s="6"/>
      <c r="C464" s="6"/>
      <c r="D464" s="6"/>
      <c r="E464" s="6"/>
    </row>
    <row r="465" ht="15.75" customHeight="1">
      <c r="B465" s="6"/>
      <c r="C465" s="6"/>
      <c r="D465" s="6"/>
      <c r="E465" s="6"/>
    </row>
    <row r="466" ht="15.75" customHeight="1">
      <c r="B466" s="6"/>
      <c r="C466" s="6"/>
      <c r="D466" s="6"/>
      <c r="E466" s="6"/>
    </row>
    <row r="467" ht="15.75" customHeight="1">
      <c r="B467" s="6"/>
      <c r="C467" s="6"/>
      <c r="D467" s="6"/>
      <c r="E467" s="6"/>
    </row>
    <row r="468" ht="15.75" customHeight="1">
      <c r="B468" s="6"/>
      <c r="C468" s="6"/>
      <c r="D468" s="6"/>
      <c r="E468" s="6"/>
    </row>
    <row r="469" ht="15.75" customHeight="1">
      <c r="B469" s="6"/>
      <c r="C469" s="6"/>
      <c r="D469" s="6"/>
      <c r="E469" s="6"/>
    </row>
    <row r="470" ht="15.75" customHeight="1">
      <c r="B470" s="6"/>
      <c r="C470" s="6"/>
      <c r="D470" s="6"/>
      <c r="E470" s="6"/>
    </row>
    <row r="471" ht="15.75" customHeight="1">
      <c r="B471" s="6"/>
      <c r="C471" s="6"/>
      <c r="D471" s="6"/>
      <c r="E471" s="6"/>
    </row>
    <row r="472" ht="15.75" customHeight="1">
      <c r="B472" s="6"/>
      <c r="C472" s="6"/>
      <c r="D472" s="6"/>
      <c r="E472" s="6"/>
    </row>
    <row r="473" ht="15.75" customHeight="1">
      <c r="B473" s="6"/>
      <c r="C473" s="6"/>
      <c r="D473" s="6"/>
      <c r="E473" s="6"/>
    </row>
    <row r="474" ht="15.75" customHeight="1">
      <c r="B474" s="6"/>
      <c r="C474" s="6"/>
      <c r="D474" s="6"/>
      <c r="E474" s="6"/>
    </row>
    <row r="475" ht="15.75" customHeight="1">
      <c r="B475" s="6"/>
      <c r="C475" s="6"/>
      <c r="D475" s="6"/>
      <c r="E475" s="6"/>
    </row>
    <row r="476" ht="15.75" customHeight="1">
      <c r="B476" s="6"/>
      <c r="C476" s="6"/>
      <c r="D476" s="6"/>
      <c r="E476" s="6"/>
    </row>
    <row r="477" ht="15.75" customHeight="1">
      <c r="B477" s="6"/>
      <c r="C477" s="6"/>
      <c r="D477" s="6"/>
      <c r="E477" s="6"/>
    </row>
    <row r="478" ht="15.75" customHeight="1">
      <c r="B478" s="6"/>
      <c r="C478" s="6"/>
      <c r="D478" s="6"/>
      <c r="E478" s="6"/>
    </row>
    <row r="479" ht="15.75" customHeight="1">
      <c r="B479" s="6"/>
      <c r="C479" s="6"/>
      <c r="D479" s="6"/>
      <c r="E479" s="6"/>
    </row>
    <row r="480" ht="15.75" customHeight="1">
      <c r="B480" s="6"/>
      <c r="C480" s="6"/>
      <c r="D480" s="6"/>
      <c r="E480" s="6"/>
    </row>
    <row r="481" ht="15.75" customHeight="1">
      <c r="B481" s="6"/>
      <c r="C481" s="6"/>
      <c r="D481" s="6"/>
      <c r="E481" s="6"/>
    </row>
    <row r="482" ht="15.75" customHeight="1">
      <c r="B482" s="6"/>
      <c r="C482" s="6"/>
      <c r="D482" s="6"/>
      <c r="E482" s="6"/>
    </row>
    <row r="483" ht="15.75" customHeight="1">
      <c r="B483" s="6"/>
      <c r="C483" s="6"/>
      <c r="D483" s="6"/>
      <c r="E483" s="6"/>
    </row>
    <row r="484" ht="15.75" customHeight="1">
      <c r="B484" s="6"/>
      <c r="C484" s="6"/>
      <c r="D484" s="6"/>
      <c r="E484" s="6"/>
    </row>
    <row r="485" ht="15.75" customHeight="1">
      <c r="B485" s="6"/>
      <c r="C485" s="6"/>
      <c r="D485" s="6"/>
      <c r="E485" s="6"/>
    </row>
    <row r="486" ht="15.75" customHeight="1">
      <c r="B486" s="6"/>
      <c r="C486" s="6"/>
      <c r="D486" s="6"/>
      <c r="E486" s="6"/>
    </row>
    <row r="487" ht="15.75" customHeight="1">
      <c r="B487" s="6"/>
      <c r="C487" s="6"/>
      <c r="D487" s="6"/>
      <c r="E487" s="6"/>
    </row>
    <row r="488" ht="15.75" customHeight="1">
      <c r="B488" s="6"/>
      <c r="C488" s="6"/>
      <c r="D488" s="6"/>
      <c r="E488" s="6"/>
    </row>
    <row r="489" ht="15.75" customHeight="1">
      <c r="B489" s="6"/>
      <c r="C489" s="6"/>
      <c r="D489" s="6"/>
      <c r="E489" s="6"/>
    </row>
    <row r="490" ht="15.75" customHeight="1">
      <c r="B490" s="6"/>
      <c r="C490" s="6"/>
      <c r="D490" s="6"/>
      <c r="E490" s="6"/>
    </row>
    <row r="491" ht="15.75" customHeight="1">
      <c r="B491" s="6"/>
      <c r="C491" s="6"/>
      <c r="D491" s="6"/>
      <c r="E491" s="6"/>
    </row>
    <row r="492" ht="15.75" customHeight="1">
      <c r="B492" s="6"/>
      <c r="C492" s="6"/>
      <c r="D492" s="6"/>
      <c r="E492" s="6"/>
    </row>
    <row r="493" ht="15.75" customHeight="1">
      <c r="B493" s="6"/>
      <c r="C493" s="6"/>
      <c r="D493" s="6"/>
      <c r="E493" s="6"/>
    </row>
    <row r="494" ht="15.75" customHeight="1">
      <c r="B494" s="6"/>
      <c r="C494" s="6"/>
      <c r="D494" s="6"/>
      <c r="E494" s="6"/>
    </row>
    <row r="495" ht="15.75" customHeight="1">
      <c r="B495" s="6"/>
      <c r="C495" s="6"/>
      <c r="D495" s="6"/>
      <c r="E495" s="6"/>
    </row>
    <row r="496" ht="15.75" customHeight="1">
      <c r="B496" s="6"/>
      <c r="C496" s="6"/>
      <c r="D496" s="6"/>
      <c r="E496" s="6"/>
    </row>
    <row r="497" ht="15.75" customHeight="1">
      <c r="B497" s="6"/>
      <c r="C497" s="6"/>
      <c r="D497" s="6"/>
      <c r="E497" s="6"/>
    </row>
    <row r="498" ht="15.75" customHeight="1">
      <c r="B498" s="6"/>
      <c r="C498" s="6"/>
      <c r="D498" s="6"/>
      <c r="E498" s="6"/>
    </row>
    <row r="499" ht="15.75" customHeight="1">
      <c r="B499" s="6"/>
      <c r="C499" s="6"/>
      <c r="D499" s="6"/>
      <c r="E499" s="6"/>
    </row>
    <row r="500" ht="15.75" customHeight="1">
      <c r="B500" s="6"/>
      <c r="C500" s="6"/>
      <c r="D500" s="6"/>
      <c r="E500" s="6"/>
    </row>
    <row r="501" ht="15.75" customHeight="1">
      <c r="B501" s="6"/>
      <c r="C501" s="6"/>
      <c r="D501" s="6"/>
      <c r="E501" s="6"/>
    </row>
    <row r="502" ht="15.75" customHeight="1">
      <c r="B502" s="6"/>
      <c r="C502" s="6"/>
      <c r="D502" s="6"/>
      <c r="E502" s="6"/>
    </row>
    <row r="503" ht="15.75" customHeight="1">
      <c r="B503" s="6"/>
      <c r="C503" s="6"/>
      <c r="D503" s="6"/>
      <c r="E503" s="6"/>
    </row>
    <row r="504" ht="15.75" customHeight="1">
      <c r="B504" s="6"/>
      <c r="C504" s="6"/>
      <c r="D504" s="6"/>
      <c r="E504" s="6"/>
    </row>
    <row r="505" ht="15.75" customHeight="1">
      <c r="B505" s="6"/>
      <c r="C505" s="6"/>
      <c r="D505" s="6"/>
      <c r="E505" s="6"/>
    </row>
    <row r="506" ht="15.75" customHeight="1">
      <c r="B506" s="6"/>
      <c r="C506" s="6"/>
      <c r="D506" s="6"/>
      <c r="E506" s="6"/>
    </row>
    <row r="507" ht="15.75" customHeight="1">
      <c r="B507" s="6"/>
      <c r="C507" s="6"/>
      <c r="D507" s="6"/>
      <c r="E507" s="6"/>
    </row>
    <row r="508" ht="15.75" customHeight="1">
      <c r="B508" s="6"/>
      <c r="C508" s="6"/>
      <c r="D508" s="6"/>
      <c r="E508" s="6"/>
    </row>
    <row r="509" ht="15.75" customHeight="1">
      <c r="B509" s="6"/>
      <c r="C509" s="6"/>
      <c r="D509" s="6"/>
      <c r="E509" s="6"/>
    </row>
    <row r="510" ht="15.75" customHeight="1">
      <c r="B510" s="6"/>
      <c r="C510" s="6"/>
      <c r="D510" s="6"/>
      <c r="E510" s="6"/>
    </row>
    <row r="511" ht="15.75" customHeight="1">
      <c r="B511" s="6"/>
      <c r="C511" s="6"/>
      <c r="D511" s="6"/>
      <c r="E511" s="6"/>
    </row>
    <row r="512" ht="15.75" customHeight="1">
      <c r="B512" s="6"/>
      <c r="C512" s="6"/>
      <c r="D512" s="6"/>
      <c r="E512" s="6"/>
    </row>
    <row r="513" ht="15.75" customHeight="1">
      <c r="B513" s="6"/>
      <c r="C513" s="6"/>
      <c r="D513" s="6"/>
      <c r="E513" s="6"/>
    </row>
    <row r="514" ht="15.75" customHeight="1">
      <c r="B514" s="6"/>
      <c r="C514" s="6"/>
      <c r="D514" s="6"/>
      <c r="E514" s="6"/>
    </row>
    <row r="515" ht="15.75" customHeight="1">
      <c r="B515" s="6"/>
      <c r="C515" s="6"/>
      <c r="D515" s="6"/>
      <c r="E515" s="6"/>
    </row>
    <row r="516" ht="15.75" customHeight="1">
      <c r="B516" s="6"/>
      <c r="C516" s="6"/>
      <c r="D516" s="6"/>
      <c r="E516" s="6"/>
    </row>
    <row r="517" ht="15.75" customHeight="1">
      <c r="B517" s="6"/>
      <c r="C517" s="6"/>
      <c r="D517" s="6"/>
      <c r="E517" s="6"/>
    </row>
    <row r="518" ht="15.75" customHeight="1">
      <c r="B518" s="6"/>
      <c r="C518" s="6"/>
      <c r="D518" s="6"/>
      <c r="E518" s="6"/>
    </row>
    <row r="519" ht="15.75" customHeight="1">
      <c r="B519" s="6"/>
      <c r="C519" s="6"/>
      <c r="D519" s="6"/>
      <c r="E519" s="6"/>
    </row>
    <row r="520" ht="15.75" customHeight="1">
      <c r="B520" s="6"/>
      <c r="C520" s="6"/>
      <c r="D520" s="6"/>
      <c r="E520" s="6"/>
    </row>
    <row r="521" ht="15.75" customHeight="1">
      <c r="B521" s="6"/>
      <c r="C521" s="6"/>
      <c r="D521" s="6"/>
      <c r="E521" s="6"/>
    </row>
    <row r="522" ht="15.75" customHeight="1">
      <c r="B522" s="6"/>
      <c r="C522" s="6"/>
      <c r="D522" s="6"/>
      <c r="E522" s="6"/>
    </row>
    <row r="523" ht="15.75" customHeight="1">
      <c r="B523" s="6"/>
      <c r="C523" s="6"/>
      <c r="D523" s="6"/>
      <c r="E523" s="6"/>
    </row>
    <row r="524" ht="15.75" customHeight="1">
      <c r="B524" s="6"/>
      <c r="C524" s="6"/>
      <c r="D524" s="6"/>
      <c r="E524" s="6"/>
    </row>
    <row r="525" ht="15.75" customHeight="1">
      <c r="B525" s="6"/>
      <c r="C525" s="6"/>
      <c r="D525" s="6"/>
      <c r="E525" s="6"/>
    </row>
    <row r="526" ht="15.75" customHeight="1">
      <c r="B526" s="6"/>
      <c r="C526" s="6"/>
      <c r="D526" s="6"/>
      <c r="E526" s="6"/>
    </row>
    <row r="527" ht="15.75" customHeight="1">
      <c r="B527" s="6"/>
      <c r="C527" s="6"/>
      <c r="D527" s="6"/>
      <c r="E527" s="6"/>
    </row>
    <row r="528" ht="15.75" customHeight="1">
      <c r="B528" s="6"/>
      <c r="C528" s="6"/>
      <c r="D528" s="6"/>
      <c r="E528" s="6"/>
    </row>
    <row r="529" ht="15.75" customHeight="1">
      <c r="B529" s="6"/>
      <c r="C529" s="6"/>
      <c r="D529" s="6"/>
      <c r="E529" s="6"/>
    </row>
    <row r="530" ht="15.75" customHeight="1">
      <c r="B530" s="6"/>
      <c r="C530" s="6"/>
      <c r="D530" s="6"/>
      <c r="E530" s="6"/>
    </row>
    <row r="531" ht="15.75" customHeight="1">
      <c r="B531" s="6"/>
      <c r="C531" s="6"/>
      <c r="D531" s="6"/>
      <c r="E531" s="6"/>
    </row>
    <row r="532" ht="15.75" customHeight="1">
      <c r="B532" s="6"/>
      <c r="C532" s="6"/>
      <c r="D532" s="6"/>
      <c r="E532" s="6"/>
    </row>
    <row r="533" ht="15.75" customHeight="1">
      <c r="B533" s="6"/>
      <c r="C533" s="6"/>
      <c r="D533" s="6"/>
      <c r="E533" s="6"/>
    </row>
    <row r="534" ht="15.75" customHeight="1">
      <c r="B534" s="6"/>
      <c r="C534" s="6"/>
      <c r="D534" s="6"/>
      <c r="E534" s="6"/>
    </row>
    <row r="535" ht="15.75" customHeight="1">
      <c r="B535" s="6"/>
      <c r="C535" s="6"/>
      <c r="D535" s="6"/>
      <c r="E535" s="6"/>
    </row>
    <row r="536" ht="15.75" customHeight="1">
      <c r="B536" s="6"/>
      <c r="C536" s="6"/>
      <c r="D536" s="6"/>
      <c r="E536" s="6"/>
    </row>
    <row r="537" ht="15.75" customHeight="1">
      <c r="B537" s="6"/>
      <c r="C537" s="6"/>
      <c r="D537" s="6"/>
      <c r="E537" s="6"/>
    </row>
    <row r="538" ht="15.75" customHeight="1">
      <c r="B538" s="6"/>
      <c r="C538" s="6"/>
      <c r="D538" s="6"/>
      <c r="E538" s="6"/>
    </row>
    <row r="539" ht="15.75" customHeight="1">
      <c r="B539" s="6"/>
      <c r="C539" s="6"/>
      <c r="D539" s="6"/>
      <c r="E539" s="6"/>
    </row>
    <row r="540" ht="15.75" customHeight="1">
      <c r="B540" s="6"/>
      <c r="C540" s="6"/>
      <c r="D540" s="6"/>
      <c r="E540" s="6"/>
    </row>
    <row r="541" ht="15.75" customHeight="1">
      <c r="B541" s="6"/>
      <c r="C541" s="6"/>
      <c r="D541" s="6"/>
      <c r="E541" s="6"/>
    </row>
    <row r="542" ht="15.75" customHeight="1">
      <c r="B542" s="6"/>
      <c r="C542" s="6"/>
      <c r="D542" s="6"/>
      <c r="E542" s="6"/>
    </row>
    <row r="543" ht="15.75" customHeight="1">
      <c r="B543" s="6"/>
      <c r="C543" s="6"/>
      <c r="D543" s="6"/>
      <c r="E543" s="6"/>
    </row>
    <row r="544" ht="15.75" customHeight="1">
      <c r="B544" s="6"/>
      <c r="C544" s="6"/>
      <c r="D544" s="6"/>
      <c r="E544" s="6"/>
    </row>
    <row r="545" ht="15.75" customHeight="1">
      <c r="B545" s="6"/>
      <c r="C545" s="6"/>
      <c r="D545" s="6"/>
      <c r="E545" s="6"/>
    </row>
    <row r="546" ht="15.75" customHeight="1">
      <c r="B546" s="6"/>
      <c r="C546" s="6"/>
      <c r="D546" s="6"/>
      <c r="E546" s="6"/>
    </row>
    <row r="547" ht="15.75" customHeight="1">
      <c r="B547" s="6"/>
      <c r="C547" s="6"/>
      <c r="D547" s="6"/>
      <c r="E547" s="6"/>
    </row>
    <row r="548" ht="15.75" customHeight="1">
      <c r="B548" s="6"/>
      <c r="C548" s="6"/>
      <c r="D548" s="6"/>
      <c r="E548" s="6"/>
    </row>
    <row r="549" ht="15.75" customHeight="1">
      <c r="B549" s="6"/>
      <c r="C549" s="6"/>
      <c r="D549" s="6"/>
      <c r="E549" s="6"/>
    </row>
    <row r="550" ht="15.75" customHeight="1">
      <c r="B550" s="6"/>
      <c r="C550" s="6"/>
      <c r="D550" s="6"/>
      <c r="E550" s="6"/>
    </row>
    <row r="551" ht="15.75" customHeight="1">
      <c r="B551" s="6"/>
      <c r="C551" s="6"/>
      <c r="D551" s="6"/>
      <c r="E551" s="6"/>
    </row>
    <row r="552" ht="15.75" customHeight="1">
      <c r="B552" s="6"/>
      <c r="C552" s="6"/>
      <c r="D552" s="6"/>
      <c r="E552" s="6"/>
    </row>
    <row r="553" ht="15.75" customHeight="1">
      <c r="B553" s="6"/>
      <c r="C553" s="6"/>
      <c r="D553" s="6"/>
      <c r="E553" s="6"/>
    </row>
    <row r="554" ht="15.75" customHeight="1">
      <c r="B554" s="6"/>
      <c r="C554" s="6"/>
      <c r="D554" s="6"/>
      <c r="E554" s="6"/>
    </row>
    <row r="555" ht="15.75" customHeight="1">
      <c r="B555" s="6"/>
      <c r="C555" s="6"/>
      <c r="D555" s="6"/>
      <c r="E555" s="6"/>
    </row>
    <row r="556" ht="15.75" customHeight="1">
      <c r="B556" s="6"/>
      <c r="C556" s="6"/>
      <c r="D556" s="6"/>
      <c r="E556" s="6"/>
    </row>
    <row r="557" ht="15.75" customHeight="1">
      <c r="B557" s="6"/>
      <c r="C557" s="6"/>
      <c r="D557" s="6"/>
      <c r="E557" s="6"/>
    </row>
    <row r="558" ht="15.75" customHeight="1">
      <c r="B558" s="6"/>
      <c r="C558" s="6"/>
      <c r="D558" s="6"/>
      <c r="E558" s="6"/>
    </row>
    <row r="559" ht="15.75" customHeight="1">
      <c r="B559" s="6"/>
      <c r="C559" s="6"/>
      <c r="D559" s="6"/>
      <c r="E559" s="6"/>
    </row>
    <row r="560" ht="15.75" customHeight="1">
      <c r="B560" s="6"/>
      <c r="C560" s="6"/>
      <c r="D560" s="6"/>
      <c r="E560" s="6"/>
    </row>
    <row r="561" ht="15.75" customHeight="1">
      <c r="B561" s="6"/>
      <c r="C561" s="6"/>
      <c r="D561" s="6"/>
      <c r="E561" s="6"/>
    </row>
    <row r="562" ht="15.75" customHeight="1">
      <c r="B562" s="6"/>
      <c r="C562" s="6"/>
      <c r="D562" s="6"/>
      <c r="E562" s="6"/>
    </row>
    <row r="563" ht="15.75" customHeight="1">
      <c r="B563" s="6"/>
      <c r="C563" s="6"/>
      <c r="D563" s="6"/>
      <c r="E563" s="6"/>
    </row>
    <row r="564" ht="15.75" customHeight="1">
      <c r="B564" s="6"/>
      <c r="C564" s="6"/>
      <c r="D564" s="6"/>
      <c r="E564" s="6"/>
    </row>
    <row r="565" ht="15.75" customHeight="1">
      <c r="B565" s="6"/>
      <c r="C565" s="6"/>
      <c r="D565" s="6"/>
      <c r="E565" s="6"/>
    </row>
    <row r="566" ht="15.75" customHeight="1">
      <c r="B566" s="6"/>
      <c r="C566" s="6"/>
      <c r="D566" s="6"/>
      <c r="E566" s="6"/>
    </row>
    <row r="567" ht="15.75" customHeight="1">
      <c r="B567" s="6"/>
      <c r="C567" s="6"/>
      <c r="D567" s="6"/>
      <c r="E567" s="6"/>
    </row>
    <row r="568" ht="15.75" customHeight="1">
      <c r="B568" s="6"/>
      <c r="C568" s="6"/>
      <c r="D568" s="6"/>
      <c r="E568" s="6"/>
    </row>
    <row r="569" ht="15.75" customHeight="1">
      <c r="B569" s="6"/>
      <c r="C569" s="6"/>
      <c r="D569" s="6"/>
      <c r="E569" s="6"/>
    </row>
    <row r="570" ht="15.75" customHeight="1">
      <c r="B570" s="6"/>
      <c r="C570" s="6"/>
      <c r="D570" s="6"/>
      <c r="E570" s="6"/>
    </row>
    <row r="571" ht="15.75" customHeight="1">
      <c r="B571" s="6"/>
      <c r="C571" s="6"/>
      <c r="D571" s="6"/>
      <c r="E571" s="6"/>
    </row>
    <row r="572" ht="15.75" customHeight="1">
      <c r="B572" s="6"/>
      <c r="C572" s="6"/>
      <c r="D572" s="6"/>
      <c r="E572" s="6"/>
    </row>
    <row r="573" ht="15.75" customHeight="1">
      <c r="B573" s="6"/>
      <c r="C573" s="6"/>
      <c r="D573" s="6"/>
      <c r="E573" s="6"/>
    </row>
    <row r="574" ht="15.75" customHeight="1">
      <c r="B574" s="6"/>
      <c r="C574" s="6"/>
      <c r="D574" s="6"/>
      <c r="E574" s="6"/>
    </row>
    <row r="575" ht="15.75" customHeight="1">
      <c r="B575" s="6"/>
      <c r="C575" s="6"/>
      <c r="D575" s="6"/>
      <c r="E575" s="6"/>
    </row>
    <row r="576" ht="15.75" customHeight="1">
      <c r="B576" s="6"/>
      <c r="C576" s="6"/>
      <c r="D576" s="6"/>
      <c r="E576" s="6"/>
    </row>
    <row r="577" ht="15.75" customHeight="1">
      <c r="B577" s="6"/>
      <c r="C577" s="6"/>
      <c r="D577" s="6"/>
      <c r="E577" s="6"/>
    </row>
    <row r="578" ht="15.75" customHeight="1">
      <c r="B578" s="6"/>
      <c r="C578" s="6"/>
      <c r="D578" s="6"/>
      <c r="E578" s="6"/>
    </row>
    <row r="579" ht="15.75" customHeight="1">
      <c r="B579" s="6"/>
      <c r="C579" s="6"/>
      <c r="D579" s="6"/>
      <c r="E579" s="6"/>
    </row>
    <row r="580" ht="15.75" customHeight="1">
      <c r="B580" s="6"/>
      <c r="C580" s="6"/>
      <c r="D580" s="6"/>
      <c r="E580" s="6"/>
    </row>
    <row r="581" ht="15.75" customHeight="1">
      <c r="B581" s="6"/>
      <c r="C581" s="6"/>
      <c r="D581" s="6"/>
      <c r="E581" s="6"/>
    </row>
    <row r="582" ht="15.75" customHeight="1">
      <c r="B582" s="6"/>
      <c r="C582" s="6"/>
      <c r="D582" s="6"/>
      <c r="E582" s="6"/>
    </row>
    <row r="583" ht="15.75" customHeight="1">
      <c r="B583" s="6"/>
      <c r="C583" s="6"/>
      <c r="D583" s="6"/>
      <c r="E583" s="6"/>
    </row>
    <row r="584" ht="15.75" customHeight="1">
      <c r="B584" s="6"/>
      <c r="C584" s="6"/>
      <c r="D584" s="6"/>
      <c r="E584" s="6"/>
    </row>
    <row r="585" ht="15.75" customHeight="1">
      <c r="B585" s="6"/>
      <c r="C585" s="6"/>
      <c r="D585" s="6"/>
      <c r="E585" s="6"/>
    </row>
    <row r="586" ht="15.75" customHeight="1">
      <c r="B586" s="6"/>
      <c r="C586" s="6"/>
      <c r="D586" s="6"/>
      <c r="E586" s="6"/>
    </row>
    <row r="587" ht="15.75" customHeight="1">
      <c r="B587" s="6"/>
      <c r="C587" s="6"/>
      <c r="D587" s="6"/>
      <c r="E587" s="6"/>
    </row>
    <row r="588" ht="15.75" customHeight="1">
      <c r="B588" s="6"/>
      <c r="C588" s="6"/>
      <c r="D588" s="6"/>
      <c r="E588" s="6"/>
    </row>
    <row r="589" ht="15.75" customHeight="1">
      <c r="B589" s="6"/>
      <c r="C589" s="6"/>
      <c r="D589" s="6"/>
      <c r="E589" s="6"/>
    </row>
    <row r="590" ht="15.75" customHeight="1">
      <c r="B590" s="6"/>
      <c r="C590" s="6"/>
      <c r="D590" s="6"/>
      <c r="E590" s="6"/>
    </row>
    <row r="591" ht="15.75" customHeight="1">
      <c r="B591" s="6"/>
      <c r="C591" s="6"/>
      <c r="D591" s="6"/>
      <c r="E591" s="6"/>
    </row>
    <row r="592" ht="15.75" customHeight="1">
      <c r="B592" s="6"/>
      <c r="C592" s="6"/>
      <c r="D592" s="6"/>
      <c r="E592" s="6"/>
    </row>
    <row r="593" ht="15.75" customHeight="1">
      <c r="B593" s="6"/>
      <c r="C593" s="6"/>
      <c r="D593" s="6"/>
      <c r="E593" s="6"/>
    </row>
    <row r="594" ht="15.75" customHeight="1">
      <c r="B594" s="6"/>
      <c r="C594" s="6"/>
      <c r="D594" s="6"/>
      <c r="E594" s="6"/>
    </row>
    <row r="595" ht="15.75" customHeight="1">
      <c r="B595" s="6"/>
      <c r="C595" s="6"/>
      <c r="D595" s="6"/>
      <c r="E595" s="6"/>
    </row>
    <row r="596" ht="15.75" customHeight="1">
      <c r="B596" s="6"/>
      <c r="C596" s="6"/>
      <c r="D596" s="6"/>
      <c r="E596" s="6"/>
    </row>
    <row r="597" ht="15.75" customHeight="1">
      <c r="B597" s="6"/>
      <c r="C597" s="6"/>
      <c r="D597" s="6"/>
      <c r="E597" s="6"/>
    </row>
    <row r="598" ht="15.75" customHeight="1">
      <c r="B598" s="6"/>
      <c r="C598" s="6"/>
      <c r="D598" s="6"/>
      <c r="E598" s="6"/>
    </row>
    <row r="599" ht="15.75" customHeight="1">
      <c r="B599" s="6"/>
      <c r="C599" s="6"/>
      <c r="D599" s="6"/>
      <c r="E599" s="6"/>
    </row>
    <row r="600" ht="15.75" customHeight="1">
      <c r="B600" s="6"/>
      <c r="C600" s="6"/>
      <c r="D600" s="6"/>
      <c r="E600" s="6"/>
    </row>
    <row r="601" ht="15.75" customHeight="1">
      <c r="B601" s="6"/>
      <c r="C601" s="6"/>
      <c r="D601" s="6"/>
      <c r="E601" s="6"/>
    </row>
    <row r="602" ht="15.75" customHeight="1">
      <c r="B602" s="6"/>
      <c r="C602" s="6"/>
      <c r="D602" s="6"/>
      <c r="E602" s="6"/>
    </row>
    <row r="603" ht="15.75" customHeight="1">
      <c r="B603" s="6"/>
      <c r="C603" s="6"/>
      <c r="D603" s="6"/>
      <c r="E603" s="6"/>
    </row>
    <row r="604" ht="15.75" customHeight="1">
      <c r="B604" s="6"/>
      <c r="C604" s="6"/>
      <c r="D604" s="6"/>
      <c r="E604" s="6"/>
    </row>
    <row r="605" ht="15.75" customHeight="1">
      <c r="B605" s="6"/>
      <c r="C605" s="6"/>
      <c r="D605" s="6"/>
      <c r="E605" s="6"/>
    </row>
    <row r="606" ht="15.75" customHeight="1">
      <c r="B606" s="6"/>
      <c r="C606" s="6"/>
      <c r="D606" s="6"/>
      <c r="E606" s="6"/>
    </row>
    <row r="607" ht="15.75" customHeight="1">
      <c r="B607" s="6"/>
      <c r="C607" s="6"/>
      <c r="D607" s="6"/>
      <c r="E607" s="6"/>
    </row>
    <row r="608" ht="15.75" customHeight="1">
      <c r="B608" s="6"/>
      <c r="C608" s="6"/>
      <c r="D608" s="6"/>
      <c r="E608" s="6"/>
    </row>
    <row r="609" ht="15.75" customHeight="1">
      <c r="B609" s="6"/>
      <c r="C609" s="6"/>
      <c r="D609" s="6"/>
      <c r="E609" s="6"/>
    </row>
    <row r="610" ht="15.75" customHeight="1">
      <c r="B610" s="6"/>
      <c r="C610" s="6"/>
      <c r="D610" s="6"/>
      <c r="E610" s="6"/>
    </row>
    <row r="611" ht="15.75" customHeight="1">
      <c r="B611" s="6"/>
      <c r="C611" s="6"/>
      <c r="D611" s="6"/>
      <c r="E611" s="6"/>
    </row>
    <row r="612" ht="15.75" customHeight="1">
      <c r="B612" s="6"/>
      <c r="C612" s="6"/>
      <c r="D612" s="6"/>
      <c r="E612" s="6"/>
    </row>
    <row r="613" ht="15.75" customHeight="1">
      <c r="B613" s="6"/>
      <c r="C613" s="6"/>
      <c r="D613" s="6"/>
      <c r="E613" s="6"/>
    </row>
    <row r="614" ht="15.75" customHeight="1">
      <c r="B614" s="6"/>
      <c r="C614" s="6"/>
      <c r="D614" s="6"/>
      <c r="E614" s="6"/>
    </row>
    <row r="615" ht="15.75" customHeight="1">
      <c r="B615" s="6"/>
      <c r="C615" s="6"/>
      <c r="D615" s="6"/>
      <c r="E615" s="6"/>
    </row>
    <row r="616" ht="15.75" customHeight="1">
      <c r="B616" s="6"/>
      <c r="C616" s="6"/>
      <c r="D616" s="6"/>
      <c r="E616" s="6"/>
    </row>
    <row r="617" ht="15.75" customHeight="1">
      <c r="B617" s="6"/>
      <c r="C617" s="6"/>
      <c r="D617" s="6"/>
      <c r="E617" s="6"/>
    </row>
    <row r="618" ht="15.75" customHeight="1">
      <c r="B618" s="6"/>
      <c r="C618" s="6"/>
      <c r="D618" s="6"/>
      <c r="E618" s="6"/>
    </row>
    <row r="619" ht="15.75" customHeight="1">
      <c r="B619" s="6"/>
      <c r="C619" s="6"/>
      <c r="D619" s="6"/>
      <c r="E619" s="6"/>
    </row>
    <row r="620" ht="15.75" customHeight="1">
      <c r="B620" s="6"/>
      <c r="C620" s="6"/>
      <c r="D620" s="6"/>
      <c r="E620" s="6"/>
    </row>
    <row r="621" ht="15.75" customHeight="1">
      <c r="B621" s="6"/>
      <c r="C621" s="6"/>
      <c r="D621" s="6"/>
      <c r="E621" s="6"/>
    </row>
    <row r="622" ht="15.75" customHeight="1">
      <c r="B622" s="6"/>
      <c r="C622" s="6"/>
      <c r="D622" s="6"/>
      <c r="E622" s="6"/>
    </row>
    <row r="623" ht="15.75" customHeight="1">
      <c r="B623" s="6"/>
      <c r="C623" s="6"/>
      <c r="D623" s="6"/>
      <c r="E623" s="6"/>
    </row>
    <row r="624" ht="15.75" customHeight="1">
      <c r="B624" s="6"/>
      <c r="C624" s="6"/>
      <c r="D624" s="6"/>
      <c r="E624" s="6"/>
    </row>
    <row r="625" ht="15.75" customHeight="1">
      <c r="B625" s="6"/>
      <c r="C625" s="6"/>
      <c r="D625" s="6"/>
      <c r="E625" s="6"/>
    </row>
    <row r="626" ht="15.75" customHeight="1">
      <c r="B626" s="6"/>
      <c r="C626" s="6"/>
      <c r="D626" s="6"/>
      <c r="E626" s="6"/>
    </row>
    <row r="627" ht="15.75" customHeight="1">
      <c r="B627" s="6"/>
      <c r="C627" s="6"/>
      <c r="D627" s="6"/>
      <c r="E627" s="6"/>
    </row>
    <row r="628" ht="15.75" customHeight="1">
      <c r="B628" s="6"/>
      <c r="C628" s="6"/>
      <c r="D628" s="6"/>
      <c r="E628" s="6"/>
    </row>
    <row r="629" ht="15.75" customHeight="1">
      <c r="B629" s="6"/>
      <c r="C629" s="6"/>
      <c r="D629" s="6"/>
      <c r="E629" s="6"/>
    </row>
    <row r="630" ht="15.75" customHeight="1">
      <c r="B630" s="6"/>
      <c r="C630" s="6"/>
      <c r="D630" s="6"/>
      <c r="E630" s="6"/>
    </row>
    <row r="631" ht="15.75" customHeight="1">
      <c r="B631" s="6"/>
      <c r="C631" s="6"/>
      <c r="D631" s="6"/>
      <c r="E631" s="6"/>
    </row>
    <row r="632" ht="15.75" customHeight="1">
      <c r="B632" s="6"/>
      <c r="C632" s="6"/>
      <c r="D632" s="6"/>
      <c r="E632" s="6"/>
    </row>
    <row r="633" ht="15.75" customHeight="1">
      <c r="B633" s="6"/>
      <c r="C633" s="6"/>
      <c r="D633" s="6"/>
      <c r="E633" s="6"/>
    </row>
    <row r="634" ht="15.75" customHeight="1">
      <c r="B634" s="6"/>
      <c r="C634" s="6"/>
      <c r="D634" s="6"/>
      <c r="E634" s="6"/>
    </row>
    <row r="635" ht="15.75" customHeight="1">
      <c r="B635" s="6"/>
      <c r="C635" s="6"/>
      <c r="D635" s="6"/>
      <c r="E635" s="6"/>
    </row>
    <row r="636" ht="15.75" customHeight="1">
      <c r="B636" s="6"/>
      <c r="C636" s="6"/>
      <c r="D636" s="6"/>
      <c r="E636" s="6"/>
    </row>
    <row r="637" ht="15.75" customHeight="1">
      <c r="B637" s="6"/>
      <c r="C637" s="6"/>
      <c r="D637" s="6"/>
      <c r="E637" s="6"/>
    </row>
    <row r="638" ht="15.75" customHeight="1">
      <c r="B638" s="6"/>
      <c r="C638" s="6"/>
      <c r="D638" s="6"/>
      <c r="E638" s="6"/>
    </row>
    <row r="639" ht="15.75" customHeight="1">
      <c r="B639" s="6"/>
      <c r="C639" s="6"/>
      <c r="D639" s="6"/>
      <c r="E639" s="6"/>
    </row>
    <row r="640" ht="15.75" customHeight="1">
      <c r="B640" s="6"/>
      <c r="C640" s="6"/>
      <c r="D640" s="6"/>
      <c r="E640" s="6"/>
    </row>
    <row r="641" ht="15.75" customHeight="1">
      <c r="B641" s="6"/>
      <c r="C641" s="6"/>
      <c r="D641" s="6"/>
      <c r="E641" s="6"/>
    </row>
    <row r="642" ht="15.75" customHeight="1">
      <c r="B642" s="6"/>
      <c r="C642" s="6"/>
      <c r="D642" s="6"/>
      <c r="E642" s="6"/>
    </row>
    <row r="643" ht="15.75" customHeight="1">
      <c r="B643" s="6"/>
      <c r="C643" s="6"/>
      <c r="D643" s="6"/>
      <c r="E643" s="6"/>
    </row>
    <row r="644" ht="15.75" customHeight="1">
      <c r="B644" s="6"/>
      <c r="C644" s="6"/>
      <c r="D644" s="6"/>
      <c r="E644" s="6"/>
    </row>
    <row r="645" ht="15.75" customHeight="1">
      <c r="B645" s="6"/>
      <c r="C645" s="6"/>
      <c r="D645" s="6"/>
      <c r="E645" s="6"/>
    </row>
    <row r="646" ht="15.75" customHeight="1">
      <c r="B646" s="6"/>
      <c r="C646" s="6"/>
      <c r="D646" s="6"/>
      <c r="E646" s="6"/>
    </row>
    <row r="647" ht="15.75" customHeight="1">
      <c r="B647" s="6"/>
      <c r="C647" s="6"/>
      <c r="D647" s="6"/>
      <c r="E647" s="6"/>
    </row>
    <row r="648" ht="15.75" customHeight="1">
      <c r="B648" s="6"/>
      <c r="C648" s="6"/>
      <c r="D648" s="6"/>
      <c r="E648" s="6"/>
    </row>
    <row r="649" ht="15.75" customHeight="1">
      <c r="B649" s="6"/>
      <c r="C649" s="6"/>
      <c r="D649" s="6"/>
      <c r="E649" s="6"/>
    </row>
    <row r="650" ht="15.75" customHeight="1">
      <c r="B650" s="6"/>
      <c r="C650" s="6"/>
      <c r="D650" s="6"/>
      <c r="E650" s="6"/>
    </row>
    <row r="651" ht="15.75" customHeight="1">
      <c r="B651" s="6"/>
      <c r="C651" s="6"/>
      <c r="D651" s="6"/>
      <c r="E651" s="6"/>
    </row>
    <row r="652" ht="15.75" customHeight="1">
      <c r="B652" s="6"/>
      <c r="C652" s="6"/>
      <c r="D652" s="6"/>
      <c r="E652" s="6"/>
    </row>
    <row r="653" ht="15.75" customHeight="1">
      <c r="B653" s="6"/>
      <c r="C653" s="6"/>
      <c r="D653" s="6"/>
      <c r="E653" s="6"/>
    </row>
    <row r="654" ht="15.75" customHeight="1">
      <c r="B654" s="6"/>
      <c r="C654" s="6"/>
      <c r="D654" s="6"/>
      <c r="E654" s="6"/>
    </row>
    <row r="655" ht="15.75" customHeight="1">
      <c r="B655" s="6"/>
      <c r="C655" s="6"/>
      <c r="D655" s="6"/>
      <c r="E655" s="6"/>
    </row>
    <row r="656" ht="15.75" customHeight="1">
      <c r="B656" s="6"/>
      <c r="C656" s="6"/>
      <c r="D656" s="6"/>
      <c r="E656" s="6"/>
    </row>
    <row r="657" ht="15.75" customHeight="1">
      <c r="B657" s="6"/>
      <c r="C657" s="6"/>
      <c r="D657" s="6"/>
      <c r="E657" s="6"/>
    </row>
    <row r="658" ht="15.75" customHeight="1">
      <c r="B658" s="6"/>
      <c r="C658" s="6"/>
      <c r="D658" s="6"/>
      <c r="E658" s="6"/>
    </row>
    <row r="659" ht="15.75" customHeight="1">
      <c r="B659" s="6"/>
      <c r="C659" s="6"/>
      <c r="D659" s="6"/>
      <c r="E659" s="6"/>
    </row>
    <row r="660" ht="15.75" customHeight="1">
      <c r="B660" s="6"/>
      <c r="C660" s="6"/>
      <c r="D660" s="6"/>
      <c r="E660" s="6"/>
    </row>
    <row r="661" ht="15.75" customHeight="1">
      <c r="B661" s="6"/>
      <c r="C661" s="6"/>
      <c r="D661" s="6"/>
      <c r="E661" s="6"/>
    </row>
    <row r="662" ht="15.75" customHeight="1">
      <c r="B662" s="6"/>
      <c r="C662" s="6"/>
      <c r="D662" s="6"/>
      <c r="E662" s="6"/>
    </row>
    <row r="663" ht="15.75" customHeight="1">
      <c r="B663" s="6"/>
      <c r="C663" s="6"/>
      <c r="D663" s="6"/>
      <c r="E663" s="6"/>
    </row>
    <row r="664" ht="15.75" customHeight="1">
      <c r="B664" s="6"/>
      <c r="C664" s="6"/>
      <c r="D664" s="6"/>
      <c r="E664" s="6"/>
    </row>
    <row r="665" ht="15.75" customHeight="1">
      <c r="B665" s="6"/>
      <c r="C665" s="6"/>
      <c r="D665" s="6"/>
      <c r="E665" s="6"/>
    </row>
    <row r="666" ht="15.75" customHeight="1">
      <c r="B666" s="6"/>
      <c r="C666" s="6"/>
      <c r="D666" s="6"/>
      <c r="E666" s="6"/>
    </row>
    <row r="667" ht="15.75" customHeight="1">
      <c r="B667" s="6"/>
      <c r="C667" s="6"/>
      <c r="D667" s="6"/>
      <c r="E667" s="6"/>
    </row>
    <row r="668" ht="15.75" customHeight="1">
      <c r="B668" s="6"/>
      <c r="C668" s="6"/>
      <c r="D668" s="6"/>
      <c r="E668" s="6"/>
    </row>
    <row r="669" ht="15.75" customHeight="1">
      <c r="B669" s="6"/>
      <c r="C669" s="6"/>
      <c r="D669" s="6"/>
      <c r="E669" s="6"/>
    </row>
    <row r="670" ht="15.75" customHeight="1">
      <c r="B670" s="6"/>
      <c r="C670" s="6"/>
      <c r="D670" s="6"/>
      <c r="E670" s="6"/>
    </row>
    <row r="671" ht="15.75" customHeight="1">
      <c r="B671" s="6"/>
      <c r="C671" s="6"/>
      <c r="D671" s="6"/>
      <c r="E671" s="6"/>
    </row>
    <row r="672" ht="15.75" customHeight="1">
      <c r="B672" s="6"/>
      <c r="C672" s="6"/>
      <c r="D672" s="6"/>
      <c r="E672" s="6"/>
    </row>
    <row r="673" ht="15.75" customHeight="1">
      <c r="B673" s="6"/>
      <c r="C673" s="6"/>
      <c r="D673" s="6"/>
      <c r="E673" s="6"/>
    </row>
    <row r="674" ht="15.75" customHeight="1">
      <c r="B674" s="6"/>
      <c r="C674" s="6"/>
      <c r="D674" s="6"/>
      <c r="E674" s="6"/>
    </row>
    <row r="675" ht="15.75" customHeight="1">
      <c r="B675" s="6"/>
      <c r="C675" s="6"/>
      <c r="D675" s="6"/>
      <c r="E675" s="6"/>
    </row>
    <row r="676" ht="15.75" customHeight="1">
      <c r="B676" s="6"/>
      <c r="C676" s="6"/>
      <c r="D676" s="6"/>
      <c r="E676" s="6"/>
    </row>
    <row r="677" ht="15.75" customHeight="1">
      <c r="B677" s="6"/>
      <c r="C677" s="6"/>
      <c r="D677" s="6"/>
      <c r="E677" s="6"/>
    </row>
    <row r="678" ht="15.75" customHeight="1">
      <c r="B678" s="6"/>
      <c r="C678" s="6"/>
      <c r="D678" s="6"/>
      <c r="E678" s="6"/>
    </row>
    <row r="679" ht="15.75" customHeight="1">
      <c r="B679" s="6"/>
      <c r="C679" s="6"/>
      <c r="D679" s="6"/>
      <c r="E679" s="6"/>
    </row>
    <row r="680" ht="15.75" customHeight="1">
      <c r="B680" s="6"/>
      <c r="C680" s="6"/>
      <c r="D680" s="6"/>
      <c r="E680" s="6"/>
    </row>
    <row r="681" ht="15.75" customHeight="1">
      <c r="B681" s="6"/>
      <c r="C681" s="6"/>
      <c r="D681" s="6"/>
      <c r="E681" s="6"/>
    </row>
    <row r="682" ht="15.75" customHeight="1">
      <c r="B682" s="6"/>
      <c r="C682" s="6"/>
      <c r="D682" s="6"/>
      <c r="E682" s="6"/>
    </row>
    <row r="683" ht="15.75" customHeight="1">
      <c r="B683" s="6"/>
      <c r="C683" s="6"/>
      <c r="D683" s="6"/>
      <c r="E683" s="6"/>
    </row>
    <row r="684" ht="15.75" customHeight="1">
      <c r="B684" s="6"/>
      <c r="C684" s="6"/>
      <c r="D684" s="6"/>
      <c r="E684" s="6"/>
    </row>
    <row r="685" ht="15.75" customHeight="1">
      <c r="B685" s="6"/>
      <c r="C685" s="6"/>
      <c r="D685" s="6"/>
      <c r="E685" s="6"/>
    </row>
    <row r="686" ht="15.75" customHeight="1">
      <c r="B686" s="6"/>
      <c r="C686" s="6"/>
      <c r="D686" s="6"/>
      <c r="E686" s="6"/>
    </row>
    <row r="687" ht="15.75" customHeight="1">
      <c r="B687" s="6"/>
      <c r="C687" s="6"/>
      <c r="D687" s="6"/>
      <c r="E687" s="6"/>
    </row>
    <row r="688" ht="15.75" customHeight="1">
      <c r="B688" s="6"/>
      <c r="C688" s="6"/>
      <c r="D688" s="6"/>
      <c r="E688" s="6"/>
    </row>
    <row r="689" ht="15.75" customHeight="1">
      <c r="B689" s="6"/>
      <c r="C689" s="6"/>
      <c r="D689" s="6"/>
      <c r="E689" s="6"/>
    </row>
    <row r="690" ht="15.75" customHeight="1">
      <c r="B690" s="6"/>
      <c r="C690" s="6"/>
      <c r="D690" s="6"/>
      <c r="E690" s="6"/>
    </row>
    <row r="691" ht="15.75" customHeight="1">
      <c r="B691" s="6"/>
      <c r="C691" s="6"/>
      <c r="D691" s="6"/>
      <c r="E691" s="6"/>
    </row>
    <row r="692" ht="15.75" customHeight="1">
      <c r="B692" s="6"/>
      <c r="C692" s="6"/>
      <c r="D692" s="6"/>
      <c r="E692" s="6"/>
    </row>
    <row r="693" ht="15.75" customHeight="1">
      <c r="B693" s="6"/>
      <c r="C693" s="6"/>
      <c r="D693" s="6"/>
      <c r="E693" s="6"/>
    </row>
    <row r="694" ht="15.75" customHeight="1">
      <c r="B694" s="6"/>
      <c r="C694" s="6"/>
      <c r="D694" s="6"/>
      <c r="E694" s="6"/>
    </row>
    <row r="695" ht="15.75" customHeight="1">
      <c r="B695" s="6"/>
      <c r="C695" s="6"/>
      <c r="D695" s="6"/>
      <c r="E695" s="6"/>
    </row>
    <row r="696" ht="15.75" customHeight="1">
      <c r="B696" s="6"/>
      <c r="C696" s="6"/>
      <c r="D696" s="6"/>
      <c r="E696" s="6"/>
    </row>
    <row r="697" ht="15.75" customHeight="1">
      <c r="B697" s="6"/>
      <c r="C697" s="6"/>
      <c r="D697" s="6"/>
      <c r="E697" s="6"/>
    </row>
    <row r="698" ht="15.75" customHeight="1">
      <c r="B698" s="6"/>
      <c r="C698" s="6"/>
      <c r="D698" s="6"/>
      <c r="E698" s="6"/>
    </row>
    <row r="699" ht="15.75" customHeight="1">
      <c r="B699" s="6"/>
      <c r="C699" s="6"/>
      <c r="D699" s="6"/>
      <c r="E699" s="6"/>
    </row>
    <row r="700" ht="15.75" customHeight="1">
      <c r="B700" s="6"/>
      <c r="C700" s="6"/>
      <c r="D700" s="6"/>
      <c r="E700" s="6"/>
    </row>
    <row r="701" ht="15.75" customHeight="1">
      <c r="B701" s="6"/>
      <c r="C701" s="6"/>
      <c r="D701" s="6"/>
      <c r="E701" s="6"/>
    </row>
    <row r="702" ht="15.75" customHeight="1">
      <c r="B702" s="6"/>
      <c r="C702" s="6"/>
      <c r="D702" s="6"/>
      <c r="E702" s="6"/>
    </row>
    <row r="703" ht="15.75" customHeight="1">
      <c r="B703" s="6"/>
      <c r="C703" s="6"/>
      <c r="D703" s="6"/>
      <c r="E703" s="6"/>
    </row>
    <row r="704" ht="15.75" customHeight="1">
      <c r="B704" s="6"/>
      <c r="C704" s="6"/>
      <c r="D704" s="6"/>
      <c r="E704" s="6"/>
    </row>
    <row r="705" ht="15.75" customHeight="1">
      <c r="B705" s="6"/>
      <c r="C705" s="6"/>
      <c r="D705" s="6"/>
      <c r="E705" s="6"/>
    </row>
    <row r="706" ht="15.75" customHeight="1">
      <c r="B706" s="6"/>
      <c r="C706" s="6"/>
      <c r="D706" s="6"/>
      <c r="E706" s="6"/>
    </row>
    <row r="707" ht="15.75" customHeight="1">
      <c r="B707" s="6"/>
      <c r="C707" s="6"/>
      <c r="D707" s="6"/>
      <c r="E707" s="6"/>
    </row>
    <row r="708" ht="15.75" customHeight="1">
      <c r="B708" s="6"/>
      <c r="C708" s="6"/>
      <c r="D708" s="6"/>
      <c r="E708" s="6"/>
    </row>
    <row r="709" ht="15.75" customHeight="1">
      <c r="B709" s="6"/>
      <c r="C709" s="6"/>
      <c r="D709" s="6"/>
      <c r="E709" s="6"/>
    </row>
    <row r="710" ht="15.75" customHeight="1">
      <c r="B710" s="6"/>
      <c r="C710" s="6"/>
      <c r="D710" s="6"/>
      <c r="E710" s="6"/>
    </row>
    <row r="711" ht="15.75" customHeight="1">
      <c r="B711" s="6"/>
      <c r="C711" s="6"/>
      <c r="D711" s="6"/>
      <c r="E711" s="6"/>
    </row>
    <row r="712" ht="15.75" customHeight="1">
      <c r="B712" s="6"/>
      <c r="C712" s="6"/>
      <c r="D712" s="6"/>
      <c r="E712" s="6"/>
    </row>
    <row r="713" ht="15.75" customHeight="1">
      <c r="B713" s="6"/>
      <c r="C713" s="6"/>
      <c r="D713" s="6"/>
      <c r="E713" s="6"/>
    </row>
    <row r="714" ht="15.75" customHeight="1">
      <c r="B714" s="6"/>
      <c r="C714" s="6"/>
      <c r="D714" s="6"/>
      <c r="E714" s="6"/>
    </row>
    <row r="715" ht="15.75" customHeight="1">
      <c r="B715" s="6"/>
      <c r="C715" s="6"/>
      <c r="D715" s="6"/>
      <c r="E715" s="6"/>
    </row>
    <row r="716" ht="15.75" customHeight="1">
      <c r="B716" s="6"/>
      <c r="C716" s="6"/>
      <c r="D716" s="6"/>
      <c r="E716" s="6"/>
    </row>
    <row r="717" ht="15.75" customHeight="1">
      <c r="B717" s="6"/>
      <c r="C717" s="6"/>
      <c r="D717" s="6"/>
      <c r="E717" s="6"/>
    </row>
    <row r="718" ht="15.75" customHeight="1">
      <c r="B718" s="6"/>
      <c r="C718" s="6"/>
      <c r="D718" s="6"/>
      <c r="E718" s="6"/>
    </row>
    <row r="719" ht="15.75" customHeight="1">
      <c r="B719" s="6"/>
      <c r="C719" s="6"/>
      <c r="D719" s="6"/>
      <c r="E719" s="6"/>
    </row>
    <row r="720" ht="15.75" customHeight="1">
      <c r="B720" s="6"/>
      <c r="C720" s="6"/>
      <c r="D720" s="6"/>
      <c r="E720" s="6"/>
    </row>
    <row r="721" ht="15.75" customHeight="1">
      <c r="B721" s="6"/>
      <c r="C721" s="6"/>
      <c r="D721" s="6"/>
      <c r="E721" s="6"/>
    </row>
    <row r="722" ht="15.75" customHeight="1">
      <c r="B722" s="6"/>
      <c r="C722" s="6"/>
      <c r="D722" s="6"/>
      <c r="E722" s="6"/>
    </row>
    <row r="723" ht="15.75" customHeight="1">
      <c r="B723" s="6"/>
      <c r="C723" s="6"/>
      <c r="D723" s="6"/>
      <c r="E723" s="6"/>
    </row>
    <row r="724" ht="15.75" customHeight="1">
      <c r="B724" s="6"/>
      <c r="C724" s="6"/>
      <c r="D724" s="6"/>
      <c r="E724" s="6"/>
    </row>
    <row r="725" ht="15.75" customHeight="1">
      <c r="B725" s="6"/>
      <c r="C725" s="6"/>
      <c r="D725" s="6"/>
      <c r="E725" s="6"/>
    </row>
    <row r="726" ht="15.75" customHeight="1">
      <c r="B726" s="6"/>
      <c r="C726" s="6"/>
      <c r="D726" s="6"/>
      <c r="E726" s="6"/>
    </row>
    <row r="727" ht="15.75" customHeight="1">
      <c r="B727" s="6"/>
      <c r="C727" s="6"/>
      <c r="D727" s="6"/>
      <c r="E727" s="6"/>
    </row>
    <row r="728" ht="15.75" customHeight="1">
      <c r="B728" s="6"/>
      <c r="C728" s="6"/>
      <c r="D728" s="6"/>
      <c r="E728" s="6"/>
    </row>
    <row r="729" ht="15.75" customHeight="1">
      <c r="B729" s="6"/>
      <c r="C729" s="6"/>
      <c r="D729" s="6"/>
      <c r="E729" s="6"/>
    </row>
    <row r="730" ht="15.75" customHeight="1">
      <c r="B730" s="6"/>
      <c r="C730" s="6"/>
      <c r="D730" s="6"/>
      <c r="E730" s="6"/>
    </row>
    <row r="731" ht="15.75" customHeight="1">
      <c r="B731" s="6"/>
      <c r="C731" s="6"/>
      <c r="D731" s="6"/>
      <c r="E731" s="6"/>
    </row>
    <row r="732" ht="15.75" customHeight="1">
      <c r="B732" s="6"/>
      <c r="C732" s="6"/>
      <c r="D732" s="6"/>
      <c r="E732" s="6"/>
    </row>
    <row r="733" ht="15.75" customHeight="1">
      <c r="B733" s="6"/>
      <c r="C733" s="6"/>
      <c r="D733" s="6"/>
      <c r="E733" s="6"/>
    </row>
    <row r="734" ht="15.75" customHeight="1">
      <c r="B734" s="6"/>
      <c r="C734" s="6"/>
      <c r="D734" s="6"/>
      <c r="E734" s="6"/>
    </row>
    <row r="735" ht="15.75" customHeight="1">
      <c r="B735" s="6"/>
      <c r="C735" s="6"/>
      <c r="D735" s="6"/>
      <c r="E735" s="6"/>
    </row>
    <row r="736" ht="15.75" customHeight="1">
      <c r="B736" s="6"/>
      <c r="C736" s="6"/>
      <c r="D736" s="6"/>
      <c r="E736" s="6"/>
    </row>
    <row r="737" ht="15.75" customHeight="1">
      <c r="B737" s="6"/>
      <c r="C737" s="6"/>
      <c r="D737" s="6"/>
      <c r="E737" s="6"/>
    </row>
    <row r="738" ht="15.75" customHeight="1">
      <c r="B738" s="6"/>
      <c r="C738" s="6"/>
      <c r="D738" s="6"/>
      <c r="E738" s="6"/>
    </row>
    <row r="739" ht="15.75" customHeight="1">
      <c r="B739" s="6"/>
      <c r="C739" s="6"/>
      <c r="D739" s="6"/>
      <c r="E739" s="6"/>
    </row>
    <row r="740" ht="15.75" customHeight="1">
      <c r="B740" s="6"/>
      <c r="C740" s="6"/>
      <c r="D740" s="6"/>
      <c r="E740" s="6"/>
    </row>
    <row r="741" ht="15.75" customHeight="1">
      <c r="B741" s="6"/>
      <c r="C741" s="6"/>
      <c r="D741" s="6"/>
      <c r="E741" s="6"/>
    </row>
    <row r="742" ht="15.75" customHeight="1">
      <c r="B742" s="6"/>
      <c r="C742" s="6"/>
      <c r="D742" s="6"/>
      <c r="E742" s="6"/>
    </row>
    <row r="743" ht="15.75" customHeight="1">
      <c r="B743" s="6"/>
      <c r="C743" s="6"/>
      <c r="D743" s="6"/>
      <c r="E743" s="6"/>
    </row>
    <row r="744" ht="15.75" customHeight="1">
      <c r="B744" s="6"/>
      <c r="C744" s="6"/>
      <c r="D744" s="6"/>
      <c r="E744" s="6"/>
    </row>
    <row r="745" ht="15.75" customHeight="1">
      <c r="B745" s="6"/>
      <c r="C745" s="6"/>
      <c r="D745" s="6"/>
      <c r="E745" s="6"/>
    </row>
    <row r="746" ht="15.75" customHeight="1">
      <c r="B746" s="6"/>
      <c r="C746" s="6"/>
      <c r="D746" s="6"/>
      <c r="E746" s="6"/>
    </row>
    <row r="747" ht="15.75" customHeight="1">
      <c r="B747" s="6"/>
      <c r="C747" s="6"/>
      <c r="D747" s="6"/>
      <c r="E747" s="6"/>
    </row>
    <row r="748" ht="15.75" customHeight="1">
      <c r="B748" s="6"/>
      <c r="C748" s="6"/>
      <c r="D748" s="6"/>
      <c r="E748" s="6"/>
    </row>
    <row r="749" ht="15.75" customHeight="1">
      <c r="B749" s="6"/>
      <c r="C749" s="6"/>
      <c r="D749" s="6"/>
      <c r="E749" s="6"/>
    </row>
    <row r="750" ht="15.75" customHeight="1">
      <c r="B750" s="6"/>
      <c r="C750" s="6"/>
      <c r="D750" s="6"/>
      <c r="E750" s="6"/>
    </row>
    <row r="751" ht="15.75" customHeight="1">
      <c r="B751" s="6"/>
      <c r="C751" s="6"/>
      <c r="D751" s="6"/>
      <c r="E751" s="6"/>
    </row>
    <row r="752" ht="15.75" customHeight="1">
      <c r="B752" s="6"/>
      <c r="C752" s="6"/>
      <c r="D752" s="6"/>
      <c r="E752" s="6"/>
    </row>
    <row r="753" ht="15.75" customHeight="1">
      <c r="B753" s="6"/>
      <c r="C753" s="6"/>
      <c r="D753" s="6"/>
      <c r="E753" s="6"/>
    </row>
    <row r="754" ht="15.75" customHeight="1">
      <c r="B754" s="6"/>
      <c r="C754" s="6"/>
      <c r="D754" s="6"/>
      <c r="E754" s="6"/>
    </row>
    <row r="755" ht="15.75" customHeight="1">
      <c r="B755" s="6"/>
      <c r="C755" s="6"/>
      <c r="D755" s="6"/>
      <c r="E755" s="6"/>
    </row>
    <row r="756" ht="15.75" customHeight="1">
      <c r="B756" s="6"/>
      <c r="C756" s="6"/>
      <c r="D756" s="6"/>
      <c r="E756" s="6"/>
    </row>
    <row r="757" ht="15.75" customHeight="1">
      <c r="B757" s="6"/>
      <c r="C757" s="6"/>
      <c r="D757" s="6"/>
      <c r="E757" s="6"/>
    </row>
    <row r="758" ht="15.75" customHeight="1">
      <c r="B758" s="6"/>
      <c r="C758" s="6"/>
      <c r="D758" s="6"/>
      <c r="E758" s="6"/>
    </row>
    <row r="759" ht="15.75" customHeight="1">
      <c r="B759" s="6"/>
      <c r="C759" s="6"/>
      <c r="D759" s="6"/>
      <c r="E759" s="6"/>
    </row>
    <row r="760" ht="15.75" customHeight="1">
      <c r="B760" s="6"/>
      <c r="C760" s="6"/>
      <c r="D760" s="6"/>
      <c r="E760" s="6"/>
    </row>
    <row r="761" ht="15.75" customHeight="1">
      <c r="B761" s="6"/>
      <c r="C761" s="6"/>
      <c r="D761" s="6"/>
      <c r="E761" s="6"/>
    </row>
    <row r="762" ht="15.75" customHeight="1">
      <c r="B762" s="6"/>
      <c r="C762" s="6"/>
      <c r="D762" s="6"/>
      <c r="E762" s="6"/>
    </row>
    <row r="763" ht="15.75" customHeight="1">
      <c r="B763" s="6"/>
      <c r="C763" s="6"/>
      <c r="D763" s="6"/>
      <c r="E763" s="6"/>
    </row>
    <row r="764" ht="15.75" customHeight="1">
      <c r="B764" s="6"/>
      <c r="C764" s="6"/>
      <c r="D764" s="6"/>
      <c r="E764" s="6"/>
    </row>
    <row r="765" ht="15.75" customHeight="1">
      <c r="B765" s="6"/>
      <c r="C765" s="6"/>
      <c r="D765" s="6"/>
      <c r="E765" s="6"/>
    </row>
    <row r="766" ht="15.75" customHeight="1">
      <c r="B766" s="6"/>
      <c r="C766" s="6"/>
      <c r="D766" s="6"/>
      <c r="E766" s="6"/>
    </row>
    <row r="767" ht="15.75" customHeight="1">
      <c r="B767" s="6"/>
      <c r="C767" s="6"/>
      <c r="D767" s="6"/>
      <c r="E767" s="6"/>
    </row>
    <row r="768" ht="15.75" customHeight="1">
      <c r="B768" s="6"/>
      <c r="C768" s="6"/>
      <c r="D768" s="6"/>
      <c r="E768" s="6"/>
    </row>
    <row r="769" ht="15.75" customHeight="1">
      <c r="B769" s="6"/>
      <c r="C769" s="6"/>
      <c r="D769" s="6"/>
      <c r="E769" s="6"/>
    </row>
    <row r="770" ht="15.75" customHeight="1">
      <c r="B770" s="6"/>
      <c r="C770" s="6"/>
      <c r="D770" s="6"/>
      <c r="E770" s="6"/>
    </row>
    <row r="771" ht="15.75" customHeight="1">
      <c r="B771" s="6"/>
      <c r="C771" s="6"/>
      <c r="D771" s="6"/>
      <c r="E771" s="6"/>
    </row>
    <row r="772" ht="15.75" customHeight="1">
      <c r="B772" s="6"/>
      <c r="C772" s="6"/>
      <c r="D772" s="6"/>
      <c r="E772" s="6"/>
    </row>
    <row r="773" ht="15.75" customHeight="1">
      <c r="B773" s="6"/>
      <c r="C773" s="6"/>
      <c r="D773" s="6"/>
      <c r="E773" s="6"/>
    </row>
    <row r="774" ht="15.75" customHeight="1">
      <c r="B774" s="6"/>
      <c r="C774" s="6"/>
      <c r="D774" s="6"/>
      <c r="E774" s="6"/>
    </row>
    <row r="775" ht="15.75" customHeight="1">
      <c r="B775" s="6"/>
      <c r="C775" s="6"/>
      <c r="D775" s="6"/>
      <c r="E775" s="6"/>
    </row>
    <row r="776" ht="15.75" customHeight="1">
      <c r="B776" s="6"/>
      <c r="C776" s="6"/>
      <c r="D776" s="6"/>
      <c r="E776" s="6"/>
    </row>
    <row r="777" ht="15.75" customHeight="1">
      <c r="B777" s="6"/>
      <c r="C777" s="6"/>
      <c r="D777" s="6"/>
      <c r="E777" s="6"/>
    </row>
    <row r="778" ht="15.75" customHeight="1">
      <c r="B778" s="6"/>
      <c r="C778" s="6"/>
      <c r="D778" s="6"/>
      <c r="E778" s="6"/>
    </row>
    <row r="779" ht="15.75" customHeight="1">
      <c r="B779" s="6"/>
      <c r="C779" s="6"/>
      <c r="D779" s="6"/>
      <c r="E779" s="6"/>
    </row>
    <row r="780" ht="15.75" customHeight="1">
      <c r="B780" s="6"/>
      <c r="C780" s="6"/>
      <c r="D780" s="6"/>
      <c r="E780" s="6"/>
    </row>
    <row r="781" ht="15.75" customHeight="1">
      <c r="B781" s="6"/>
      <c r="C781" s="6"/>
      <c r="D781" s="6"/>
      <c r="E781" s="6"/>
    </row>
    <row r="782" ht="15.75" customHeight="1">
      <c r="B782" s="6"/>
      <c r="C782" s="6"/>
      <c r="D782" s="6"/>
      <c r="E782" s="6"/>
    </row>
    <row r="783" ht="15.75" customHeight="1">
      <c r="B783" s="6"/>
      <c r="C783" s="6"/>
      <c r="D783" s="6"/>
      <c r="E783" s="6"/>
    </row>
    <row r="784" ht="15.75" customHeight="1">
      <c r="B784" s="6"/>
      <c r="C784" s="6"/>
      <c r="D784" s="6"/>
      <c r="E784" s="6"/>
    </row>
    <row r="785" ht="15.75" customHeight="1">
      <c r="B785" s="6"/>
      <c r="C785" s="6"/>
      <c r="D785" s="6"/>
      <c r="E785" s="6"/>
    </row>
    <row r="786" ht="15.75" customHeight="1">
      <c r="B786" s="6"/>
      <c r="C786" s="6"/>
      <c r="D786" s="6"/>
      <c r="E786" s="6"/>
    </row>
    <row r="787" ht="15.75" customHeight="1">
      <c r="B787" s="6"/>
      <c r="C787" s="6"/>
      <c r="D787" s="6"/>
      <c r="E787" s="6"/>
    </row>
    <row r="788" ht="15.75" customHeight="1">
      <c r="B788" s="6"/>
      <c r="C788" s="6"/>
      <c r="D788" s="6"/>
      <c r="E788" s="6"/>
    </row>
    <row r="789" ht="15.75" customHeight="1">
      <c r="B789" s="6"/>
      <c r="C789" s="6"/>
      <c r="D789" s="6"/>
      <c r="E789" s="6"/>
    </row>
    <row r="790" ht="15.75" customHeight="1">
      <c r="B790" s="6"/>
      <c r="C790" s="6"/>
      <c r="D790" s="6"/>
      <c r="E790" s="6"/>
    </row>
    <row r="791" ht="15.75" customHeight="1">
      <c r="B791" s="6"/>
      <c r="C791" s="6"/>
      <c r="D791" s="6"/>
      <c r="E791" s="6"/>
    </row>
    <row r="792" ht="15.75" customHeight="1">
      <c r="B792" s="6"/>
      <c r="C792" s="6"/>
      <c r="D792" s="6"/>
      <c r="E792" s="6"/>
    </row>
    <row r="793" ht="15.75" customHeight="1">
      <c r="B793" s="6"/>
      <c r="C793" s="6"/>
      <c r="D793" s="6"/>
      <c r="E793" s="6"/>
    </row>
    <row r="794" ht="15.75" customHeight="1">
      <c r="B794" s="6"/>
      <c r="C794" s="6"/>
      <c r="D794" s="6"/>
      <c r="E794" s="6"/>
    </row>
    <row r="795" ht="15.75" customHeight="1">
      <c r="B795" s="6"/>
      <c r="C795" s="6"/>
      <c r="D795" s="6"/>
      <c r="E795" s="6"/>
    </row>
    <row r="796" ht="15.75" customHeight="1">
      <c r="B796" s="6"/>
      <c r="C796" s="6"/>
      <c r="D796" s="6"/>
      <c r="E796" s="6"/>
    </row>
    <row r="797" ht="15.75" customHeight="1">
      <c r="B797" s="6"/>
      <c r="C797" s="6"/>
      <c r="D797" s="6"/>
      <c r="E797" s="6"/>
    </row>
    <row r="798" ht="15.75" customHeight="1">
      <c r="B798" s="6"/>
      <c r="C798" s="6"/>
      <c r="D798" s="6"/>
      <c r="E798" s="6"/>
    </row>
    <row r="799" ht="15.75" customHeight="1">
      <c r="B799" s="6"/>
      <c r="C799" s="6"/>
      <c r="D799" s="6"/>
      <c r="E799" s="6"/>
    </row>
    <row r="800" ht="15.75" customHeight="1">
      <c r="B800" s="6"/>
      <c r="C800" s="6"/>
      <c r="D800" s="6"/>
      <c r="E800" s="6"/>
    </row>
    <row r="801" ht="15.75" customHeight="1">
      <c r="B801" s="6"/>
      <c r="C801" s="6"/>
      <c r="D801" s="6"/>
      <c r="E801" s="6"/>
    </row>
    <row r="802" ht="15.75" customHeight="1">
      <c r="B802" s="6"/>
      <c r="C802" s="6"/>
      <c r="D802" s="6"/>
      <c r="E802" s="6"/>
    </row>
    <row r="803" ht="15.75" customHeight="1">
      <c r="B803" s="6"/>
      <c r="C803" s="6"/>
      <c r="D803" s="6"/>
      <c r="E803" s="6"/>
    </row>
    <row r="804" ht="15.75" customHeight="1">
      <c r="B804" s="6"/>
      <c r="C804" s="6"/>
      <c r="D804" s="6"/>
      <c r="E804" s="6"/>
    </row>
    <row r="805" ht="15.75" customHeight="1">
      <c r="B805" s="6"/>
      <c r="C805" s="6"/>
      <c r="D805" s="6"/>
      <c r="E805" s="6"/>
    </row>
    <row r="806" ht="15.75" customHeight="1">
      <c r="B806" s="6"/>
      <c r="C806" s="6"/>
      <c r="D806" s="6"/>
      <c r="E806" s="6"/>
    </row>
    <row r="807" ht="15.75" customHeight="1">
      <c r="B807" s="6"/>
      <c r="C807" s="6"/>
      <c r="D807" s="6"/>
      <c r="E807" s="6"/>
    </row>
    <row r="808" ht="15.75" customHeight="1">
      <c r="B808" s="6"/>
      <c r="C808" s="6"/>
      <c r="D808" s="6"/>
      <c r="E808" s="6"/>
    </row>
    <row r="809" ht="15.75" customHeight="1">
      <c r="B809" s="6"/>
      <c r="C809" s="6"/>
      <c r="D809" s="6"/>
      <c r="E809" s="6"/>
    </row>
    <row r="810" ht="15.75" customHeight="1">
      <c r="B810" s="6"/>
      <c r="C810" s="6"/>
      <c r="D810" s="6"/>
      <c r="E810" s="6"/>
    </row>
    <row r="811" ht="15.75" customHeight="1">
      <c r="B811" s="6"/>
      <c r="C811" s="6"/>
      <c r="D811" s="6"/>
      <c r="E811" s="6"/>
    </row>
    <row r="812" ht="15.75" customHeight="1">
      <c r="B812" s="6"/>
      <c r="C812" s="6"/>
      <c r="D812" s="6"/>
      <c r="E812" s="6"/>
    </row>
    <row r="813" ht="15.75" customHeight="1">
      <c r="B813" s="6"/>
      <c r="C813" s="6"/>
      <c r="D813" s="6"/>
      <c r="E813" s="6"/>
    </row>
    <row r="814" ht="15.75" customHeight="1">
      <c r="B814" s="6"/>
      <c r="C814" s="6"/>
      <c r="D814" s="6"/>
      <c r="E814" s="6"/>
    </row>
    <row r="815" ht="15.75" customHeight="1">
      <c r="B815" s="6"/>
      <c r="C815" s="6"/>
      <c r="D815" s="6"/>
      <c r="E815" s="6"/>
    </row>
    <row r="816" ht="15.75" customHeight="1">
      <c r="B816" s="6"/>
      <c r="C816" s="6"/>
      <c r="D816" s="6"/>
      <c r="E816" s="6"/>
    </row>
    <row r="817" ht="15.75" customHeight="1">
      <c r="B817" s="6"/>
      <c r="C817" s="6"/>
      <c r="D817" s="6"/>
      <c r="E817" s="6"/>
    </row>
    <row r="818" ht="15.75" customHeight="1">
      <c r="B818" s="6"/>
      <c r="C818" s="6"/>
      <c r="D818" s="6"/>
      <c r="E818" s="6"/>
    </row>
    <row r="819" ht="15.75" customHeight="1">
      <c r="B819" s="6"/>
      <c r="C819" s="6"/>
      <c r="D819" s="6"/>
      <c r="E819" s="6"/>
    </row>
    <row r="820" ht="15.75" customHeight="1">
      <c r="B820" s="6"/>
      <c r="C820" s="6"/>
      <c r="D820" s="6"/>
      <c r="E820" s="6"/>
    </row>
    <row r="821" ht="15.75" customHeight="1">
      <c r="B821" s="6"/>
      <c r="C821" s="6"/>
      <c r="D821" s="6"/>
      <c r="E821" s="6"/>
    </row>
    <row r="822" ht="15.75" customHeight="1">
      <c r="B822" s="6"/>
      <c r="C822" s="6"/>
      <c r="D822" s="6"/>
      <c r="E822" s="6"/>
    </row>
    <row r="823" ht="15.75" customHeight="1">
      <c r="B823" s="6"/>
      <c r="C823" s="6"/>
      <c r="D823" s="6"/>
      <c r="E823" s="6"/>
    </row>
    <row r="824" ht="15.75" customHeight="1">
      <c r="B824" s="6"/>
      <c r="C824" s="6"/>
      <c r="D824" s="6"/>
      <c r="E824" s="6"/>
    </row>
    <row r="825" ht="15.75" customHeight="1">
      <c r="B825" s="6"/>
      <c r="C825" s="6"/>
      <c r="D825" s="6"/>
      <c r="E825" s="6"/>
    </row>
    <row r="826" ht="15.75" customHeight="1">
      <c r="B826" s="6"/>
      <c r="C826" s="6"/>
      <c r="D826" s="6"/>
      <c r="E826" s="6"/>
    </row>
    <row r="827" ht="15.75" customHeight="1">
      <c r="B827" s="6"/>
      <c r="C827" s="6"/>
      <c r="D827" s="6"/>
      <c r="E827" s="6"/>
    </row>
    <row r="828" ht="15.75" customHeight="1">
      <c r="B828" s="6"/>
      <c r="C828" s="6"/>
      <c r="D828" s="6"/>
      <c r="E828" s="6"/>
    </row>
    <row r="829" ht="15.75" customHeight="1">
      <c r="B829" s="6"/>
      <c r="C829" s="6"/>
      <c r="D829" s="6"/>
      <c r="E829" s="6"/>
    </row>
    <row r="830" ht="15.75" customHeight="1">
      <c r="B830" s="6"/>
      <c r="C830" s="6"/>
      <c r="D830" s="6"/>
      <c r="E830" s="6"/>
    </row>
    <row r="831" ht="15.75" customHeight="1">
      <c r="B831" s="6"/>
      <c r="C831" s="6"/>
      <c r="D831" s="6"/>
      <c r="E831" s="6"/>
    </row>
    <row r="832" ht="15.75" customHeight="1">
      <c r="B832" s="6"/>
      <c r="C832" s="6"/>
      <c r="D832" s="6"/>
      <c r="E832" s="6"/>
    </row>
    <row r="833" ht="15.75" customHeight="1">
      <c r="B833" s="6"/>
      <c r="C833" s="6"/>
      <c r="D833" s="6"/>
      <c r="E833" s="6"/>
    </row>
    <row r="834" ht="15.75" customHeight="1">
      <c r="B834" s="6"/>
      <c r="C834" s="6"/>
      <c r="D834" s="6"/>
      <c r="E834" s="6"/>
    </row>
    <row r="835" ht="15.75" customHeight="1">
      <c r="B835" s="6"/>
      <c r="C835" s="6"/>
      <c r="D835" s="6"/>
      <c r="E835" s="6"/>
    </row>
    <row r="836" ht="15.75" customHeight="1">
      <c r="B836" s="6"/>
      <c r="C836" s="6"/>
      <c r="D836" s="6"/>
      <c r="E836" s="6"/>
    </row>
    <row r="837" ht="15.75" customHeight="1">
      <c r="B837" s="6"/>
      <c r="C837" s="6"/>
      <c r="D837" s="6"/>
      <c r="E837" s="6"/>
    </row>
    <row r="838" ht="15.75" customHeight="1">
      <c r="B838" s="6"/>
      <c r="C838" s="6"/>
      <c r="D838" s="6"/>
      <c r="E838" s="6"/>
    </row>
    <row r="839" ht="15.75" customHeight="1">
      <c r="B839" s="6"/>
      <c r="C839" s="6"/>
      <c r="D839" s="6"/>
      <c r="E839" s="6"/>
    </row>
    <row r="840" ht="15.75" customHeight="1">
      <c r="B840" s="6"/>
      <c r="C840" s="6"/>
      <c r="D840" s="6"/>
      <c r="E840" s="6"/>
    </row>
    <row r="841" ht="15.75" customHeight="1">
      <c r="B841" s="6"/>
      <c r="C841" s="6"/>
      <c r="D841" s="6"/>
      <c r="E841" s="6"/>
    </row>
    <row r="842" ht="15.75" customHeight="1">
      <c r="B842" s="6"/>
      <c r="C842" s="6"/>
      <c r="D842" s="6"/>
      <c r="E842" s="6"/>
    </row>
    <row r="843" ht="15.75" customHeight="1">
      <c r="B843" s="6"/>
      <c r="C843" s="6"/>
      <c r="D843" s="6"/>
      <c r="E843" s="6"/>
    </row>
    <row r="844" ht="15.75" customHeight="1">
      <c r="B844" s="6"/>
      <c r="C844" s="6"/>
      <c r="D844" s="6"/>
      <c r="E844" s="6"/>
    </row>
    <row r="845" ht="15.75" customHeight="1">
      <c r="B845" s="6"/>
      <c r="C845" s="6"/>
      <c r="D845" s="6"/>
      <c r="E845" s="6"/>
    </row>
    <row r="846" ht="15.75" customHeight="1">
      <c r="B846" s="6"/>
      <c r="C846" s="6"/>
      <c r="D846" s="6"/>
      <c r="E846" s="6"/>
    </row>
    <row r="847" ht="15.75" customHeight="1">
      <c r="B847" s="6"/>
      <c r="C847" s="6"/>
      <c r="D847" s="6"/>
      <c r="E847" s="6"/>
    </row>
    <row r="848" ht="15.75" customHeight="1">
      <c r="B848" s="6"/>
      <c r="C848" s="6"/>
      <c r="D848" s="6"/>
      <c r="E848" s="6"/>
    </row>
    <row r="849" ht="15.75" customHeight="1">
      <c r="B849" s="6"/>
      <c r="C849" s="6"/>
      <c r="D849" s="6"/>
      <c r="E849" s="6"/>
    </row>
    <row r="850" ht="15.75" customHeight="1">
      <c r="B850" s="6"/>
      <c r="C850" s="6"/>
      <c r="D850" s="6"/>
      <c r="E850" s="6"/>
    </row>
    <row r="851" ht="15.75" customHeight="1">
      <c r="B851" s="6"/>
      <c r="C851" s="6"/>
      <c r="D851" s="6"/>
      <c r="E851" s="6"/>
    </row>
    <row r="852" ht="15.75" customHeight="1">
      <c r="B852" s="6"/>
      <c r="C852" s="6"/>
      <c r="D852" s="6"/>
      <c r="E852" s="6"/>
    </row>
    <row r="853" ht="15.75" customHeight="1">
      <c r="B853" s="6"/>
      <c r="C853" s="6"/>
      <c r="D853" s="6"/>
      <c r="E853" s="6"/>
    </row>
    <row r="854" ht="15.75" customHeight="1">
      <c r="B854" s="6"/>
      <c r="C854" s="6"/>
      <c r="D854" s="6"/>
      <c r="E854" s="6"/>
    </row>
    <row r="855" ht="15.75" customHeight="1">
      <c r="B855" s="6"/>
      <c r="C855" s="6"/>
      <c r="D855" s="6"/>
      <c r="E855" s="6"/>
    </row>
    <row r="856" ht="15.75" customHeight="1">
      <c r="B856" s="6"/>
      <c r="C856" s="6"/>
      <c r="D856" s="6"/>
      <c r="E856" s="6"/>
    </row>
    <row r="857" ht="15.75" customHeight="1">
      <c r="B857" s="6"/>
      <c r="C857" s="6"/>
      <c r="D857" s="6"/>
      <c r="E857" s="6"/>
    </row>
    <row r="858" ht="15.75" customHeight="1">
      <c r="B858" s="6"/>
      <c r="C858" s="6"/>
      <c r="D858" s="6"/>
      <c r="E858" s="6"/>
    </row>
    <row r="859" ht="15.75" customHeight="1">
      <c r="B859" s="6"/>
      <c r="C859" s="6"/>
      <c r="D859" s="6"/>
      <c r="E859" s="6"/>
    </row>
    <row r="860" ht="15.75" customHeight="1">
      <c r="B860" s="6"/>
      <c r="C860" s="6"/>
      <c r="D860" s="6"/>
      <c r="E860" s="6"/>
    </row>
    <row r="861" ht="15.75" customHeight="1">
      <c r="B861" s="6"/>
      <c r="C861" s="6"/>
      <c r="D861" s="6"/>
      <c r="E861" s="6"/>
    </row>
    <row r="862" ht="15.75" customHeight="1">
      <c r="B862" s="6"/>
      <c r="C862" s="6"/>
      <c r="D862" s="6"/>
      <c r="E862" s="6"/>
    </row>
    <row r="863" ht="15.75" customHeight="1">
      <c r="B863" s="6"/>
      <c r="C863" s="6"/>
      <c r="D863" s="6"/>
      <c r="E863" s="6"/>
    </row>
    <row r="864" ht="15.75" customHeight="1">
      <c r="B864" s="6"/>
      <c r="C864" s="6"/>
      <c r="D864" s="6"/>
      <c r="E864" s="6"/>
    </row>
    <row r="865" ht="15.75" customHeight="1">
      <c r="B865" s="6"/>
      <c r="C865" s="6"/>
      <c r="D865" s="6"/>
      <c r="E865" s="6"/>
    </row>
    <row r="866" ht="15.75" customHeight="1">
      <c r="B866" s="6"/>
      <c r="C866" s="6"/>
      <c r="D866" s="6"/>
      <c r="E866" s="6"/>
    </row>
    <row r="867" ht="15.75" customHeight="1">
      <c r="B867" s="6"/>
      <c r="C867" s="6"/>
      <c r="D867" s="6"/>
      <c r="E867" s="6"/>
    </row>
    <row r="868" ht="15.75" customHeight="1">
      <c r="B868" s="6"/>
      <c r="C868" s="6"/>
      <c r="D868" s="6"/>
      <c r="E868" s="6"/>
    </row>
    <row r="869" ht="15.75" customHeight="1">
      <c r="B869" s="6"/>
      <c r="C869" s="6"/>
      <c r="D869" s="6"/>
      <c r="E869" s="6"/>
    </row>
    <row r="870" ht="15.75" customHeight="1">
      <c r="B870" s="6"/>
      <c r="C870" s="6"/>
      <c r="D870" s="6"/>
      <c r="E870" s="6"/>
    </row>
    <row r="871" ht="15.75" customHeight="1">
      <c r="B871" s="6"/>
      <c r="C871" s="6"/>
      <c r="D871" s="6"/>
      <c r="E871" s="6"/>
    </row>
    <row r="872" ht="15.75" customHeight="1">
      <c r="B872" s="6"/>
      <c r="C872" s="6"/>
      <c r="D872" s="6"/>
      <c r="E872" s="6"/>
    </row>
    <row r="873" ht="15.75" customHeight="1">
      <c r="B873" s="6"/>
      <c r="C873" s="6"/>
      <c r="D873" s="6"/>
      <c r="E873" s="6"/>
    </row>
    <row r="874" ht="15.75" customHeight="1">
      <c r="B874" s="6"/>
      <c r="C874" s="6"/>
      <c r="D874" s="6"/>
      <c r="E874" s="6"/>
    </row>
    <row r="875" ht="15.75" customHeight="1">
      <c r="B875" s="6"/>
      <c r="C875" s="6"/>
      <c r="D875" s="6"/>
      <c r="E875" s="6"/>
    </row>
    <row r="876" ht="15.75" customHeight="1">
      <c r="B876" s="6"/>
      <c r="C876" s="6"/>
      <c r="D876" s="6"/>
      <c r="E876" s="6"/>
    </row>
    <row r="877" ht="15.75" customHeight="1">
      <c r="B877" s="6"/>
      <c r="C877" s="6"/>
      <c r="D877" s="6"/>
      <c r="E877" s="6"/>
    </row>
    <row r="878" ht="15.75" customHeight="1">
      <c r="B878" s="6"/>
      <c r="C878" s="6"/>
      <c r="D878" s="6"/>
      <c r="E878" s="6"/>
    </row>
    <row r="879" ht="15.75" customHeight="1">
      <c r="B879" s="6"/>
      <c r="C879" s="6"/>
      <c r="D879" s="6"/>
      <c r="E879" s="6"/>
    </row>
    <row r="880" ht="15.75" customHeight="1">
      <c r="B880" s="6"/>
      <c r="C880" s="6"/>
      <c r="D880" s="6"/>
      <c r="E880" s="6"/>
    </row>
    <row r="881" ht="15.75" customHeight="1">
      <c r="B881" s="6"/>
      <c r="C881" s="6"/>
      <c r="D881" s="6"/>
      <c r="E881" s="6"/>
    </row>
    <row r="882" ht="15.75" customHeight="1">
      <c r="B882" s="6"/>
      <c r="C882" s="6"/>
      <c r="D882" s="6"/>
      <c r="E882" s="6"/>
    </row>
    <row r="883" ht="15.75" customHeight="1">
      <c r="B883" s="6"/>
      <c r="C883" s="6"/>
      <c r="D883" s="6"/>
      <c r="E883" s="6"/>
    </row>
    <row r="884" ht="15.75" customHeight="1">
      <c r="B884" s="6"/>
      <c r="C884" s="6"/>
      <c r="D884" s="6"/>
      <c r="E884" s="6"/>
    </row>
    <row r="885" ht="15.75" customHeight="1">
      <c r="B885" s="6"/>
      <c r="C885" s="6"/>
      <c r="D885" s="6"/>
      <c r="E885" s="6"/>
    </row>
    <row r="886" ht="15.75" customHeight="1">
      <c r="B886" s="6"/>
      <c r="C886" s="6"/>
      <c r="D886" s="6"/>
      <c r="E886" s="6"/>
    </row>
    <row r="887" ht="15.75" customHeight="1">
      <c r="B887" s="6"/>
      <c r="C887" s="6"/>
      <c r="D887" s="6"/>
      <c r="E887" s="6"/>
    </row>
    <row r="888" ht="15.75" customHeight="1">
      <c r="B888" s="6"/>
      <c r="C888" s="6"/>
      <c r="D888" s="6"/>
      <c r="E888" s="6"/>
    </row>
    <row r="889" ht="15.75" customHeight="1">
      <c r="B889" s="6"/>
      <c r="C889" s="6"/>
      <c r="D889" s="6"/>
      <c r="E889" s="6"/>
    </row>
    <row r="890" ht="15.75" customHeight="1">
      <c r="B890" s="6"/>
      <c r="C890" s="6"/>
      <c r="D890" s="6"/>
      <c r="E890" s="6"/>
    </row>
    <row r="891" ht="15.75" customHeight="1">
      <c r="B891" s="6"/>
      <c r="C891" s="6"/>
      <c r="D891" s="6"/>
      <c r="E891" s="6"/>
    </row>
    <row r="892" ht="15.75" customHeight="1">
      <c r="B892" s="6"/>
      <c r="C892" s="6"/>
      <c r="D892" s="6"/>
      <c r="E892" s="6"/>
    </row>
    <row r="893" ht="15.75" customHeight="1">
      <c r="B893" s="6"/>
      <c r="C893" s="6"/>
      <c r="D893" s="6"/>
      <c r="E893" s="6"/>
    </row>
    <row r="894" ht="15.75" customHeight="1">
      <c r="B894" s="6"/>
      <c r="C894" s="6"/>
      <c r="D894" s="6"/>
      <c r="E894" s="6"/>
    </row>
    <row r="895" ht="15.75" customHeight="1">
      <c r="B895" s="6"/>
      <c r="C895" s="6"/>
      <c r="D895" s="6"/>
      <c r="E895" s="6"/>
    </row>
    <row r="896" ht="15.75" customHeight="1">
      <c r="B896" s="6"/>
      <c r="C896" s="6"/>
      <c r="D896" s="6"/>
      <c r="E896" s="6"/>
    </row>
    <row r="897" ht="15.75" customHeight="1">
      <c r="B897" s="6"/>
      <c r="C897" s="6"/>
      <c r="D897" s="6"/>
      <c r="E897" s="6"/>
    </row>
    <row r="898" ht="15.75" customHeight="1">
      <c r="B898" s="6"/>
      <c r="C898" s="6"/>
      <c r="D898" s="6"/>
      <c r="E898" s="6"/>
    </row>
    <row r="899" ht="15.75" customHeight="1">
      <c r="B899" s="6"/>
      <c r="C899" s="6"/>
      <c r="D899" s="6"/>
      <c r="E899" s="6"/>
    </row>
    <row r="900" ht="15.75" customHeight="1">
      <c r="B900" s="6"/>
      <c r="C900" s="6"/>
      <c r="D900" s="6"/>
      <c r="E900" s="6"/>
    </row>
    <row r="901" ht="15.75" customHeight="1">
      <c r="B901" s="6"/>
      <c r="C901" s="6"/>
      <c r="D901" s="6"/>
      <c r="E901" s="6"/>
    </row>
    <row r="902" ht="15.75" customHeight="1">
      <c r="B902" s="6"/>
      <c r="C902" s="6"/>
      <c r="D902" s="6"/>
      <c r="E902" s="6"/>
    </row>
    <row r="903" ht="15.75" customHeight="1">
      <c r="B903" s="6"/>
      <c r="C903" s="6"/>
      <c r="D903" s="6"/>
      <c r="E903" s="6"/>
    </row>
    <row r="904" ht="15.75" customHeight="1">
      <c r="B904" s="6"/>
      <c r="C904" s="6"/>
      <c r="D904" s="6"/>
      <c r="E904" s="6"/>
    </row>
    <row r="905" ht="15.75" customHeight="1">
      <c r="B905" s="6"/>
      <c r="C905" s="6"/>
      <c r="D905" s="6"/>
      <c r="E905" s="6"/>
    </row>
    <row r="906" ht="15.75" customHeight="1">
      <c r="B906" s="6"/>
      <c r="C906" s="6"/>
      <c r="D906" s="6"/>
      <c r="E906" s="6"/>
    </row>
    <row r="907" ht="15.75" customHeight="1">
      <c r="B907" s="6"/>
      <c r="C907" s="6"/>
      <c r="D907" s="6"/>
      <c r="E907" s="6"/>
    </row>
    <row r="908" ht="15.75" customHeight="1">
      <c r="B908" s="6"/>
      <c r="C908" s="6"/>
      <c r="D908" s="6"/>
      <c r="E908" s="6"/>
    </row>
    <row r="909" ht="15.75" customHeight="1">
      <c r="B909" s="6"/>
      <c r="C909" s="6"/>
      <c r="D909" s="6"/>
      <c r="E909" s="6"/>
    </row>
    <row r="910" ht="15.75" customHeight="1">
      <c r="B910" s="6"/>
      <c r="C910" s="6"/>
      <c r="D910" s="6"/>
      <c r="E910" s="6"/>
    </row>
    <row r="911" ht="15.75" customHeight="1">
      <c r="B911" s="6"/>
      <c r="C911" s="6"/>
      <c r="D911" s="6"/>
      <c r="E911" s="6"/>
    </row>
    <row r="912" ht="15.75" customHeight="1">
      <c r="B912" s="6"/>
      <c r="C912" s="6"/>
      <c r="D912" s="6"/>
      <c r="E912" s="6"/>
    </row>
    <row r="913" ht="15.75" customHeight="1">
      <c r="B913" s="6"/>
      <c r="C913" s="6"/>
      <c r="D913" s="6"/>
      <c r="E913" s="6"/>
    </row>
    <row r="914" ht="15.75" customHeight="1">
      <c r="B914" s="6"/>
      <c r="C914" s="6"/>
      <c r="D914" s="6"/>
      <c r="E914" s="6"/>
    </row>
    <row r="915" ht="15.75" customHeight="1">
      <c r="B915" s="6"/>
      <c r="C915" s="6"/>
      <c r="D915" s="6"/>
      <c r="E915" s="6"/>
    </row>
    <row r="916" ht="15.75" customHeight="1">
      <c r="B916" s="6"/>
      <c r="C916" s="6"/>
      <c r="D916" s="6"/>
      <c r="E916" s="6"/>
    </row>
    <row r="917" ht="15.75" customHeight="1">
      <c r="B917" s="6"/>
      <c r="C917" s="6"/>
      <c r="D917" s="6"/>
      <c r="E917" s="6"/>
    </row>
    <row r="918" ht="15.75" customHeight="1">
      <c r="B918" s="6"/>
      <c r="C918" s="6"/>
      <c r="D918" s="6"/>
      <c r="E918" s="6"/>
    </row>
    <row r="919" ht="15.75" customHeight="1">
      <c r="B919" s="6"/>
      <c r="C919" s="6"/>
      <c r="D919" s="6"/>
      <c r="E919" s="6"/>
    </row>
    <row r="920" ht="15.75" customHeight="1">
      <c r="B920" s="6"/>
      <c r="C920" s="6"/>
      <c r="D920" s="6"/>
      <c r="E920" s="6"/>
    </row>
    <row r="921" ht="15.75" customHeight="1">
      <c r="B921" s="6"/>
      <c r="C921" s="6"/>
      <c r="D921" s="6"/>
      <c r="E921" s="6"/>
    </row>
    <row r="922" ht="15.75" customHeight="1">
      <c r="B922" s="6"/>
      <c r="C922" s="6"/>
      <c r="D922" s="6"/>
      <c r="E922" s="6"/>
    </row>
    <row r="923" ht="15.75" customHeight="1">
      <c r="B923" s="6"/>
      <c r="C923" s="6"/>
      <c r="D923" s="6"/>
      <c r="E923" s="6"/>
    </row>
    <row r="924" ht="15.75" customHeight="1">
      <c r="B924" s="6"/>
      <c r="C924" s="6"/>
      <c r="D924" s="6"/>
      <c r="E924" s="6"/>
    </row>
    <row r="925" ht="15.75" customHeight="1">
      <c r="B925" s="6"/>
      <c r="C925" s="6"/>
      <c r="D925" s="6"/>
      <c r="E925" s="6"/>
    </row>
    <row r="926" ht="15.75" customHeight="1">
      <c r="B926" s="6"/>
      <c r="C926" s="6"/>
      <c r="D926" s="6"/>
      <c r="E926" s="6"/>
    </row>
    <row r="927" ht="15.75" customHeight="1">
      <c r="B927" s="6"/>
      <c r="C927" s="6"/>
      <c r="D927" s="6"/>
      <c r="E927" s="6"/>
    </row>
    <row r="928" ht="15.75" customHeight="1">
      <c r="B928" s="6"/>
      <c r="C928" s="6"/>
      <c r="D928" s="6"/>
      <c r="E928" s="6"/>
    </row>
    <row r="929" ht="15.75" customHeight="1">
      <c r="B929" s="6"/>
      <c r="C929" s="6"/>
      <c r="D929" s="6"/>
      <c r="E929" s="6"/>
    </row>
    <row r="930" ht="15.75" customHeight="1">
      <c r="B930" s="6"/>
      <c r="C930" s="6"/>
      <c r="D930" s="6"/>
      <c r="E930" s="6"/>
    </row>
    <row r="931" ht="15.75" customHeight="1">
      <c r="B931" s="6"/>
      <c r="C931" s="6"/>
      <c r="D931" s="6"/>
      <c r="E931" s="6"/>
    </row>
    <row r="932" ht="15.75" customHeight="1">
      <c r="B932" s="6"/>
      <c r="C932" s="6"/>
      <c r="D932" s="6"/>
      <c r="E932" s="6"/>
    </row>
    <row r="933" ht="15.75" customHeight="1">
      <c r="B933" s="6"/>
      <c r="C933" s="6"/>
      <c r="D933" s="6"/>
      <c r="E933" s="6"/>
    </row>
    <row r="934" ht="15.75" customHeight="1">
      <c r="B934" s="6"/>
      <c r="C934" s="6"/>
      <c r="D934" s="6"/>
      <c r="E934" s="6"/>
    </row>
    <row r="935" ht="15.75" customHeight="1">
      <c r="B935" s="6"/>
      <c r="C935" s="6"/>
      <c r="D935" s="6"/>
      <c r="E935" s="6"/>
    </row>
    <row r="936" ht="15.75" customHeight="1">
      <c r="B936" s="6"/>
      <c r="C936" s="6"/>
      <c r="D936" s="6"/>
      <c r="E936" s="6"/>
    </row>
    <row r="937" ht="15.75" customHeight="1">
      <c r="B937" s="6"/>
      <c r="C937" s="6"/>
      <c r="D937" s="6"/>
      <c r="E937" s="6"/>
    </row>
    <row r="938" ht="15.75" customHeight="1">
      <c r="B938" s="6"/>
      <c r="C938" s="6"/>
      <c r="D938" s="6"/>
      <c r="E938" s="6"/>
    </row>
    <row r="939" ht="15.75" customHeight="1">
      <c r="B939" s="6"/>
      <c r="C939" s="6"/>
      <c r="D939" s="6"/>
      <c r="E939" s="6"/>
    </row>
    <row r="940" ht="15.75" customHeight="1">
      <c r="B940" s="6"/>
      <c r="C940" s="6"/>
      <c r="D940" s="6"/>
      <c r="E940" s="6"/>
    </row>
    <row r="941" ht="15.75" customHeight="1">
      <c r="B941" s="6"/>
      <c r="C941" s="6"/>
      <c r="D941" s="6"/>
      <c r="E941" s="6"/>
    </row>
    <row r="942" ht="15.75" customHeight="1">
      <c r="B942" s="6"/>
      <c r="C942" s="6"/>
      <c r="D942" s="6"/>
      <c r="E942" s="6"/>
    </row>
    <row r="943" ht="15.75" customHeight="1">
      <c r="B943" s="6"/>
      <c r="C943" s="6"/>
      <c r="D943" s="6"/>
      <c r="E943" s="6"/>
    </row>
    <row r="944" ht="15.75" customHeight="1">
      <c r="B944" s="6"/>
      <c r="C944" s="6"/>
      <c r="D944" s="6"/>
      <c r="E944" s="6"/>
    </row>
    <row r="945" ht="15.75" customHeight="1">
      <c r="B945" s="6"/>
      <c r="C945" s="6"/>
      <c r="D945" s="6"/>
      <c r="E945" s="6"/>
    </row>
    <row r="946" ht="15.75" customHeight="1">
      <c r="B946" s="6"/>
      <c r="C946" s="6"/>
      <c r="D946" s="6"/>
      <c r="E946" s="6"/>
    </row>
    <row r="947" ht="15.75" customHeight="1">
      <c r="B947" s="6"/>
      <c r="C947" s="6"/>
      <c r="D947" s="6"/>
      <c r="E947" s="6"/>
    </row>
    <row r="948" ht="15.75" customHeight="1">
      <c r="B948" s="6"/>
      <c r="C948" s="6"/>
      <c r="D948" s="6"/>
      <c r="E948" s="6"/>
    </row>
    <row r="949" ht="15.75" customHeight="1">
      <c r="B949" s="6"/>
      <c r="C949" s="6"/>
      <c r="D949" s="6"/>
      <c r="E949" s="6"/>
    </row>
    <row r="950" ht="15.75" customHeight="1">
      <c r="B950" s="6"/>
      <c r="C950" s="6"/>
      <c r="D950" s="6"/>
      <c r="E950" s="6"/>
    </row>
    <row r="951" ht="15.75" customHeight="1">
      <c r="B951" s="6"/>
      <c r="C951" s="6"/>
      <c r="D951" s="6"/>
      <c r="E951" s="6"/>
    </row>
    <row r="952" ht="15.75" customHeight="1">
      <c r="B952" s="6"/>
      <c r="C952" s="6"/>
      <c r="D952" s="6"/>
      <c r="E952" s="6"/>
    </row>
    <row r="953" ht="15.75" customHeight="1">
      <c r="B953" s="6"/>
      <c r="C953" s="6"/>
      <c r="D953" s="6"/>
      <c r="E953" s="6"/>
    </row>
    <row r="954" ht="15.75" customHeight="1">
      <c r="B954" s="6"/>
      <c r="C954" s="6"/>
      <c r="D954" s="6"/>
      <c r="E954" s="6"/>
    </row>
    <row r="955" ht="15.75" customHeight="1">
      <c r="B955" s="6"/>
      <c r="C955" s="6"/>
      <c r="D955" s="6"/>
      <c r="E955" s="6"/>
    </row>
    <row r="956" ht="15.75" customHeight="1">
      <c r="B956" s="6"/>
      <c r="C956" s="6"/>
      <c r="D956" s="6"/>
      <c r="E956" s="6"/>
    </row>
    <row r="957" ht="15.75" customHeight="1">
      <c r="B957" s="6"/>
      <c r="C957" s="6"/>
      <c r="D957" s="6"/>
      <c r="E957" s="6"/>
    </row>
    <row r="958" ht="15.75" customHeight="1">
      <c r="B958" s="6"/>
      <c r="C958" s="6"/>
      <c r="D958" s="6"/>
      <c r="E958" s="6"/>
    </row>
    <row r="959" ht="15.75" customHeight="1">
      <c r="B959" s="6"/>
      <c r="C959" s="6"/>
      <c r="D959" s="6"/>
      <c r="E959" s="6"/>
    </row>
    <row r="960" ht="15.75" customHeight="1">
      <c r="B960" s="6"/>
      <c r="C960" s="6"/>
      <c r="D960" s="6"/>
      <c r="E960" s="6"/>
    </row>
    <row r="961" ht="15.75" customHeight="1">
      <c r="B961" s="6"/>
      <c r="C961" s="6"/>
      <c r="D961" s="6"/>
      <c r="E961" s="6"/>
    </row>
    <row r="962" ht="15.75" customHeight="1">
      <c r="B962" s="6"/>
      <c r="C962" s="6"/>
      <c r="D962" s="6"/>
      <c r="E962" s="6"/>
    </row>
    <row r="963" ht="15.75" customHeight="1">
      <c r="B963" s="6"/>
      <c r="C963" s="6"/>
      <c r="D963" s="6"/>
      <c r="E963" s="6"/>
    </row>
    <row r="964" ht="15.75" customHeight="1">
      <c r="B964" s="6"/>
      <c r="C964" s="6"/>
      <c r="D964" s="6"/>
      <c r="E964" s="6"/>
    </row>
    <row r="965" ht="15.75" customHeight="1">
      <c r="B965" s="6"/>
      <c r="C965" s="6"/>
      <c r="D965" s="6"/>
      <c r="E965" s="6"/>
    </row>
    <row r="966" ht="15.75" customHeight="1">
      <c r="B966" s="6"/>
      <c r="C966" s="6"/>
      <c r="D966" s="6"/>
      <c r="E966" s="6"/>
    </row>
    <row r="967" ht="15.75" customHeight="1">
      <c r="B967" s="6"/>
      <c r="C967" s="6"/>
      <c r="D967" s="6"/>
      <c r="E967" s="6"/>
    </row>
    <row r="968" ht="15.75" customHeight="1">
      <c r="B968" s="6"/>
      <c r="C968" s="6"/>
      <c r="D968" s="6"/>
      <c r="E968" s="6"/>
    </row>
    <row r="969" ht="15.75" customHeight="1">
      <c r="B969" s="6"/>
      <c r="C969" s="6"/>
      <c r="D969" s="6"/>
      <c r="E969" s="6"/>
    </row>
    <row r="970" ht="15.75" customHeight="1">
      <c r="B970" s="6"/>
      <c r="C970" s="6"/>
      <c r="D970" s="6"/>
      <c r="E970" s="6"/>
    </row>
    <row r="971" ht="15.75" customHeight="1">
      <c r="B971" s="6"/>
      <c r="C971" s="6"/>
      <c r="D971" s="6"/>
      <c r="E971" s="6"/>
    </row>
    <row r="972" ht="15.75" customHeight="1">
      <c r="B972" s="6"/>
      <c r="C972" s="6"/>
      <c r="D972" s="6"/>
      <c r="E972" s="6"/>
    </row>
    <row r="973" ht="15.75" customHeight="1">
      <c r="B973" s="6"/>
      <c r="C973" s="6"/>
      <c r="D973" s="6"/>
      <c r="E973" s="6"/>
    </row>
    <row r="974" ht="15.75" customHeight="1">
      <c r="B974" s="6"/>
      <c r="C974" s="6"/>
      <c r="D974" s="6"/>
      <c r="E974" s="6"/>
    </row>
    <row r="975" ht="15.75" customHeight="1">
      <c r="B975" s="6"/>
      <c r="C975" s="6"/>
      <c r="D975" s="6"/>
      <c r="E975" s="6"/>
    </row>
    <row r="976" ht="15.75" customHeight="1">
      <c r="B976" s="6"/>
      <c r="C976" s="6"/>
      <c r="D976" s="6"/>
      <c r="E976" s="6"/>
    </row>
    <row r="977" ht="15.75" customHeight="1">
      <c r="B977" s="6"/>
      <c r="C977" s="6"/>
      <c r="D977" s="6"/>
      <c r="E977" s="6"/>
    </row>
    <row r="978" ht="15.75" customHeight="1">
      <c r="B978" s="6"/>
      <c r="C978" s="6"/>
      <c r="D978" s="6"/>
      <c r="E978" s="6"/>
    </row>
    <row r="979" ht="15.75" customHeight="1">
      <c r="B979" s="6"/>
      <c r="C979" s="6"/>
      <c r="D979" s="6"/>
      <c r="E979" s="6"/>
    </row>
    <row r="980" ht="15.75" customHeight="1">
      <c r="B980" s="6"/>
      <c r="C980" s="6"/>
      <c r="D980" s="6"/>
      <c r="E980" s="6"/>
    </row>
    <row r="981" ht="15.75" customHeight="1">
      <c r="B981" s="6"/>
      <c r="C981" s="6"/>
      <c r="D981" s="6"/>
      <c r="E981" s="6"/>
    </row>
    <row r="982" ht="15.75" customHeight="1">
      <c r="B982" s="6"/>
      <c r="C982" s="6"/>
      <c r="D982" s="6"/>
      <c r="E982" s="6"/>
    </row>
    <row r="983" ht="15.75" customHeight="1">
      <c r="B983" s="6"/>
      <c r="C983" s="6"/>
      <c r="D983" s="6"/>
      <c r="E983" s="6"/>
    </row>
    <row r="984" ht="15.75" customHeight="1">
      <c r="B984" s="6"/>
      <c r="C984" s="6"/>
      <c r="D984" s="6"/>
      <c r="E984" s="6"/>
    </row>
    <row r="985" ht="15.75" customHeight="1">
      <c r="B985" s="6"/>
      <c r="C985" s="6"/>
      <c r="D985" s="6"/>
      <c r="E985" s="6"/>
    </row>
    <row r="986" ht="15.75" customHeight="1">
      <c r="B986" s="6"/>
      <c r="C986" s="6"/>
      <c r="D986" s="6"/>
      <c r="E986" s="6"/>
    </row>
    <row r="987" ht="15.75" customHeight="1">
      <c r="B987" s="6"/>
      <c r="C987" s="6"/>
      <c r="D987" s="6"/>
      <c r="E987" s="6"/>
    </row>
    <row r="988" ht="15.75" customHeight="1">
      <c r="B988" s="6"/>
      <c r="C988" s="6"/>
      <c r="D988" s="6"/>
      <c r="E988" s="6"/>
    </row>
    <row r="989" ht="15.75" customHeight="1">
      <c r="B989" s="6"/>
      <c r="C989" s="6"/>
      <c r="D989" s="6"/>
      <c r="E989" s="6"/>
    </row>
    <row r="990" ht="15.75" customHeight="1">
      <c r="B990" s="6"/>
      <c r="C990" s="6"/>
      <c r="D990" s="6"/>
      <c r="E990" s="6"/>
    </row>
    <row r="991" ht="15.75" customHeight="1">
      <c r="B991" s="6"/>
      <c r="C991" s="6"/>
      <c r="D991" s="6"/>
      <c r="E991" s="6"/>
    </row>
    <row r="992" ht="15.75" customHeight="1">
      <c r="B992" s="6"/>
      <c r="C992" s="6"/>
      <c r="D992" s="6"/>
      <c r="E992" s="6"/>
    </row>
    <row r="993" ht="15.75" customHeight="1">
      <c r="B993" s="6"/>
      <c r="C993" s="6"/>
      <c r="D993" s="6"/>
      <c r="E993" s="6"/>
    </row>
    <row r="994" ht="15.75" customHeight="1">
      <c r="B994" s="6"/>
      <c r="C994" s="6"/>
      <c r="D994" s="6"/>
      <c r="E994" s="6"/>
    </row>
    <row r="995" ht="15.75" customHeight="1">
      <c r="B995" s="6"/>
      <c r="C995" s="6"/>
      <c r="D995" s="6"/>
      <c r="E995" s="6"/>
    </row>
    <row r="996" ht="15.75" customHeight="1">
      <c r="B996" s="6"/>
      <c r="C996" s="6"/>
      <c r="D996" s="6"/>
      <c r="E996" s="6"/>
    </row>
    <row r="997" ht="15.75" customHeight="1">
      <c r="B997" s="6"/>
      <c r="C997" s="6"/>
      <c r="D997" s="6"/>
      <c r="E997" s="6"/>
    </row>
    <row r="998" ht="15.75" customHeight="1">
      <c r="B998" s="6"/>
      <c r="C998" s="6"/>
      <c r="D998" s="6"/>
      <c r="E998" s="6"/>
    </row>
    <row r="999" ht="15.75" customHeight="1">
      <c r="B999" s="6"/>
      <c r="C999" s="6"/>
      <c r="D999" s="6"/>
      <c r="E999" s="6"/>
    </row>
    <row r="1000" ht="15.75" customHeight="1">
      <c r="B1000" s="6"/>
      <c r="C1000" s="6"/>
      <c r="D1000" s="6"/>
      <c r="E1000" s="6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3"/>
      <c r="B1" s="5" t="s">
        <v>3</v>
      </c>
    </row>
    <row r="2" ht="15.75" customHeight="1">
      <c r="C2" s="6"/>
    </row>
    <row r="3" ht="15.75" customHeight="1">
      <c r="A3" s="7"/>
      <c r="B3" s="8" t="s">
        <v>4</v>
      </c>
      <c r="C3" s="14" t="s">
        <v>5</v>
      </c>
      <c r="G3" s="18"/>
    </row>
    <row r="4" ht="15.75" customHeight="1">
      <c r="A4" s="7"/>
      <c r="B4" s="8" t="s">
        <v>6</v>
      </c>
      <c r="C4" s="29">
        <f t="array" ref="C4">IFERROR(_xlfn.XLOOKUP(TRIM(C3), Competencias_actuales!D15:D1000, Competencias_actuales!C15:C1000), "Código no encontrado")</f>
        <v>774</v>
      </c>
      <c r="E4" s="30"/>
      <c r="F4" s="30"/>
      <c r="G4" s="30"/>
      <c r="H4" s="9" t="str">
        <f>C4&amp;" - "&amp;C3</f>
        <v>774 - Sistemas de Bases de Datos 1</v>
      </c>
    </row>
    <row r="5" ht="15.75" customHeight="1">
      <c r="C5" s="6"/>
    </row>
    <row r="6" ht="15.75" customHeight="1">
      <c r="B6" s="32" t="s">
        <v>23</v>
      </c>
      <c r="C6" s="33" t="s">
        <v>16</v>
      </c>
      <c r="D6" s="32" t="s">
        <v>17</v>
      </c>
      <c r="E6" s="32" t="s">
        <v>19</v>
      </c>
      <c r="F6" s="34" t="s">
        <v>24</v>
      </c>
      <c r="G6" s="34" t="s">
        <v>26</v>
      </c>
      <c r="H6" s="34" t="s">
        <v>27</v>
      </c>
    </row>
    <row r="7" ht="15.75" customHeight="1">
      <c r="B7" s="37">
        <f>IFERROR(__xludf.DUMMYFUNCTION("QUERY(IMPORTRANGE(VLOOKUP(H4,METADA!A:B,2,FALSE), ""Diseño Curricular!A4:G500""), )"),1.0)</f>
        <v>1</v>
      </c>
      <c r="C7" s="6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7" s="37">
        <f>IFERROR(__xludf.DUMMYFUNCTION("""COMPUTED_VALUE"""),1.0)</f>
        <v>1</v>
      </c>
      <c r="E7" s="37" t="str">
        <f>IFERROR(__xludf.DUMMYFUNCTION("""COMPUTED_VALUE"""),"Introducción a base de datos relacionales")</f>
        <v>Introducción a base de datos relacionales</v>
      </c>
      <c r="F7" s="37" t="str">
        <f>IFERROR(__xludf.DUMMYFUNCTION("""COMPUTED_VALUE"""),"Bases de datos")</f>
        <v>Bases de datos</v>
      </c>
      <c r="G7" s="37" t="str">
        <f>IFERROR(__xludf.DUMMYFUNCTION("""COMPUTED_VALUE"""),"Julio")</f>
        <v>Julio</v>
      </c>
      <c r="H7" s="37">
        <f>IFERROR(__xludf.DUMMYFUNCTION("""COMPUTED_VALUE"""),1.0)</f>
        <v>1</v>
      </c>
    </row>
    <row r="8" ht="15.75" customHeight="1">
      <c r="B8" s="37">
        <f>IFERROR(__xludf.DUMMYFUNCTION("""COMPUTED_VALUE"""),2.0)</f>
        <v>2</v>
      </c>
      <c r="C8" s="6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8" s="37">
        <f>IFERROR(__xludf.DUMMYFUNCTION("""COMPUTED_VALUE"""),1.0)</f>
        <v>1</v>
      </c>
      <c r="E8" s="37" t="str">
        <f>IFERROR(__xludf.DUMMYFUNCTION("""COMPUTED_VALUE"""),"Introducción a base de datos relacionales")</f>
        <v>Introducción a base de datos relacionales</v>
      </c>
      <c r="F8" s="37" t="str">
        <f>IFERROR(__xludf.DUMMYFUNCTION("""COMPUTED_VALUE"""),"Tecnología de Base de Datos Relacional")</f>
        <v>Tecnología de Base de Datos Relacional</v>
      </c>
      <c r="G8" s="37" t="str">
        <f>IFERROR(__xludf.DUMMYFUNCTION("""COMPUTED_VALUE"""),"Julio")</f>
        <v>Julio</v>
      </c>
      <c r="H8" s="37">
        <f>IFERROR(__xludf.DUMMYFUNCTION("""COMPUTED_VALUE"""),1.0)</f>
        <v>1</v>
      </c>
    </row>
    <row r="9" ht="15.75" customHeight="1">
      <c r="B9" s="37">
        <f>IFERROR(__xludf.DUMMYFUNCTION("""COMPUTED_VALUE"""),3.0)</f>
        <v>3</v>
      </c>
      <c r="C9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9" s="37">
        <f>IFERROR(__xludf.DUMMYFUNCTION("""COMPUTED_VALUE"""),1.0)</f>
        <v>1</v>
      </c>
      <c r="E9" s="37" t="str">
        <f>IFERROR(__xludf.DUMMYFUNCTION("""COMPUTED_VALUE"""),"Introducción a base de datos relacionales")</f>
        <v>Introducción a base de datos relacionales</v>
      </c>
      <c r="F9" s="37" t="str">
        <f>IFERROR(__xludf.DUMMYFUNCTION("""COMPUTED_VALUE"""),"Anatomia de una sentencia SQL")</f>
        <v>Anatomia de una sentencia SQL</v>
      </c>
      <c r="G9" s="37" t="str">
        <f>IFERROR(__xludf.DUMMYFUNCTION("""COMPUTED_VALUE"""),"Julio")</f>
        <v>Julio</v>
      </c>
      <c r="H9" s="37">
        <f>IFERROR(__xludf.DUMMYFUNCTION("""COMPUTED_VALUE"""),1.0)</f>
        <v>1</v>
      </c>
    </row>
    <row r="10" ht="15.75" customHeight="1">
      <c r="B10" s="37">
        <f>IFERROR(__xludf.DUMMYFUNCTION("""COMPUTED_VALUE"""),4.0)</f>
        <v>4</v>
      </c>
      <c r="C10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0" s="37">
        <f>IFERROR(__xludf.DUMMYFUNCTION("""COMPUTED_VALUE"""),2.0)</f>
        <v>2</v>
      </c>
      <c r="E10" s="37" t="str">
        <f>IFERROR(__xludf.DUMMYFUNCTION("""COMPUTED_VALUE"""),"Modelo Entidad-Relación")</f>
        <v>Modelo Entidad-Relación</v>
      </c>
      <c r="F10" s="37" t="str">
        <f>IFERROR(__xludf.DUMMYFUNCTION("""COMPUTED_VALUE"""),"Modelo Conceptual")</f>
        <v>Modelo Conceptual</v>
      </c>
      <c r="G10" s="37" t="str">
        <f>IFERROR(__xludf.DUMMYFUNCTION("""COMPUTED_VALUE"""),"Julio")</f>
        <v>Julio</v>
      </c>
      <c r="H10" s="37">
        <f>IFERROR(__xludf.DUMMYFUNCTION("""COMPUTED_VALUE"""),2.0)</f>
        <v>2</v>
      </c>
    </row>
    <row r="11" ht="15.75" customHeight="1">
      <c r="B11" s="37">
        <f>IFERROR(__xludf.DUMMYFUNCTION("""COMPUTED_VALUE"""),5.0)</f>
        <v>5</v>
      </c>
      <c r="C11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1" s="37">
        <f>IFERROR(__xludf.DUMMYFUNCTION("""COMPUTED_VALUE"""),2.0)</f>
        <v>2</v>
      </c>
      <c r="E11" s="37" t="str">
        <f>IFERROR(__xludf.DUMMYFUNCTION("""COMPUTED_VALUE"""),"Modelo Entidad-Relación")</f>
        <v>Modelo Entidad-Relación</v>
      </c>
      <c r="F11" s="37" t="str">
        <f>IFERROR(__xludf.DUMMYFUNCTION("""COMPUTED_VALUE"""),"Modelo Lógico")</f>
        <v>Modelo Lógico</v>
      </c>
      <c r="G11" s="37" t="str">
        <f>IFERROR(__xludf.DUMMYFUNCTION("""COMPUTED_VALUE"""),"Julio")</f>
        <v>Julio</v>
      </c>
      <c r="H11" s="37">
        <f>IFERROR(__xludf.DUMMYFUNCTION("""COMPUTED_VALUE"""),2.0)</f>
        <v>2</v>
      </c>
    </row>
    <row r="12" ht="15.75" customHeight="1">
      <c r="B12" s="37">
        <f>IFERROR(__xludf.DUMMYFUNCTION("""COMPUTED_VALUE"""),6.0)</f>
        <v>6</v>
      </c>
      <c r="C12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2" s="37">
        <f>IFERROR(__xludf.DUMMYFUNCTION("""COMPUTED_VALUE"""),2.0)</f>
        <v>2</v>
      </c>
      <c r="E12" s="37" t="str">
        <f>IFERROR(__xludf.DUMMYFUNCTION("""COMPUTED_VALUE"""),"Modelo Entidad-Relación")</f>
        <v>Modelo Entidad-Relación</v>
      </c>
      <c r="F12" s="37" t="str">
        <f>IFERROR(__xludf.DUMMYFUNCTION("""COMPUTED_VALUE"""),"Relaciones y sus tipos")</f>
        <v>Relaciones y sus tipos</v>
      </c>
      <c r="G12" s="37" t="str">
        <f>IFERROR(__xludf.DUMMYFUNCTION("""COMPUTED_VALUE"""),"Julio")</f>
        <v>Julio</v>
      </c>
      <c r="H12" s="37">
        <f>IFERROR(__xludf.DUMMYFUNCTION("""COMPUTED_VALUE"""),2.0)</f>
        <v>2</v>
      </c>
    </row>
    <row r="13" ht="15.75" customHeight="1">
      <c r="B13" s="37">
        <f>IFERROR(__xludf.DUMMYFUNCTION("""COMPUTED_VALUE"""),7.0)</f>
        <v>7</v>
      </c>
      <c r="C13" s="6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3" s="37">
        <f>IFERROR(__xludf.DUMMYFUNCTION("""COMPUTED_VALUE"""),2.0)</f>
        <v>2</v>
      </c>
      <c r="E13" s="37" t="str">
        <f>IFERROR(__xludf.DUMMYFUNCTION("""COMPUTED_VALUE"""),"Modelo Entidad-Relación")</f>
        <v>Modelo Entidad-Relación</v>
      </c>
      <c r="F13" s="37" t="str">
        <f>IFERROR(__xludf.DUMMYFUNCTION("""COMPUTED_VALUE"""),"Modelo Físico")</f>
        <v>Modelo Físico</v>
      </c>
      <c r="G13" s="37" t="str">
        <f>IFERROR(__xludf.DUMMYFUNCTION("""COMPUTED_VALUE"""),"Julio")</f>
        <v>Julio</v>
      </c>
      <c r="H13" s="37">
        <f>IFERROR(__xludf.DUMMYFUNCTION("""COMPUTED_VALUE"""),2.0)</f>
        <v>2</v>
      </c>
    </row>
    <row r="14" ht="15.75" customHeight="1">
      <c r="B14" s="37">
        <f>IFERROR(__xludf.DUMMYFUNCTION("""COMPUTED_VALUE"""),8.0)</f>
        <v>8</v>
      </c>
      <c r="C14" s="6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4" s="37">
        <f>IFERROR(__xludf.DUMMYFUNCTION("""COMPUTED_VALUE"""),2.0)</f>
        <v>2</v>
      </c>
      <c r="E14" s="37" t="str">
        <f>IFERROR(__xludf.DUMMYFUNCTION("""COMPUTED_VALUE"""),"Modelo Entidad-Relación")</f>
        <v>Modelo Entidad-Relación</v>
      </c>
      <c r="F14" s="37" t="str">
        <f>IFERROR(__xludf.DUMMYFUNCTION("""COMPUTED_VALUE"""),"ERdish")</f>
        <v>ERdish</v>
      </c>
      <c r="G14" s="37" t="str">
        <f>IFERROR(__xludf.DUMMYFUNCTION("""COMPUTED_VALUE"""),"Julio")</f>
        <v>Julio</v>
      </c>
      <c r="H14" s="37">
        <f>IFERROR(__xludf.DUMMYFUNCTION("""COMPUTED_VALUE"""),2.0)</f>
        <v>2</v>
      </c>
    </row>
    <row r="15" ht="15.75" customHeight="1">
      <c r="B15" s="37">
        <f>IFERROR(__xludf.DUMMYFUNCTION("""COMPUTED_VALUE"""),9.0)</f>
        <v>9</v>
      </c>
      <c r="C15" s="6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15" s="37">
        <f>IFERROR(__xludf.DUMMYFUNCTION("""COMPUTED_VALUE"""),3.0)</f>
        <v>3</v>
      </c>
      <c r="E15" s="37" t="str">
        <f>IFERROR(__xludf.DUMMYFUNCTION("""COMPUTED_VALUE"""),"Normalización Parte 1")</f>
        <v>Normalización Parte 1</v>
      </c>
      <c r="F15" s="37" t="str">
        <f>IFERROR(__xludf.DUMMYFUNCTION("""COMPUTED_VALUE"""),"Primera Forma Normal")</f>
        <v>Primera Forma Normal</v>
      </c>
      <c r="G15" s="37" t="str">
        <f>IFERROR(__xludf.DUMMYFUNCTION("""COMPUTED_VALUE"""),"Agosto")</f>
        <v>Agosto</v>
      </c>
      <c r="H15" s="37">
        <f>IFERROR(__xludf.DUMMYFUNCTION("""COMPUTED_VALUE"""),3.0)</f>
        <v>3</v>
      </c>
    </row>
    <row r="16" ht="15.75" customHeight="1">
      <c r="B16" s="37">
        <f>IFERROR(__xludf.DUMMYFUNCTION("""COMPUTED_VALUE"""),10.0)</f>
        <v>10</v>
      </c>
      <c r="C16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6" s="37">
        <f>IFERROR(__xludf.DUMMYFUNCTION("""COMPUTED_VALUE"""),3.0)</f>
        <v>3</v>
      </c>
      <c r="E16" s="37" t="str">
        <f>IFERROR(__xludf.DUMMYFUNCTION("""COMPUTED_VALUE"""),"Normalización Parte 1")</f>
        <v>Normalización Parte 1</v>
      </c>
      <c r="F16" s="37" t="str">
        <f>IFERROR(__xludf.DUMMYFUNCTION("""COMPUTED_VALUE"""),"Segunda Forma Normal")</f>
        <v>Segunda Forma Normal</v>
      </c>
      <c r="G16" s="37" t="str">
        <f>IFERROR(__xludf.DUMMYFUNCTION("""COMPUTED_VALUE"""),"Agosto")</f>
        <v>Agosto</v>
      </c>
      <c r="H16" s="37">
        <f>IFERROR(__xludf.DUMMYFUNCTION("""COMPUTED_VALUE"""),3.0)</f>
        <v>3</v>
      </c>
    </row>
    <row r="17" ht="15.75" customHeight="1">
      <c r="B17" s="37">
        <f>IFERROR(__xludf.DUMMYFUNCTION("""COMPUTED_VALUE"""),11.0)</f>
        <v>11</v>
      </c>
      <c r="C17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7" s="37">
        <f>IFERROR(__xludf.DUMMYFUNCTION("""COMPUTED_VALUE"""),3.0)</f>
        <v>3</v>
      </c>
      <c r="E17" s="37" t="str">
        <f>IFERROR(__xludf.DUMMYFUNCTION("""COMPUTED_VALUE"""),"Normalización Parte 1")</f>
        <v>Normalización Parte 1</v>
      </c>
      <c r="F17" s="37" t="str">
        <f>IFERROR(__xludf.DUMMYFUNCTION("""COMPUTED_VALUE"""),"Tipos de Datos")</f>
        <v>Tipos de Datos</v>
      </c>
      <c r="G17" s="37" t="str">
        <f>IFERROR(__xludf.DUMMYFUNCTION("""COMPUTED_VALUE"""),"Agosto")</f>
        <v>Agosto</v>
      </c>
      <c r="H17" s="37">
        <f>IFERROR(__xludf.DUMMYFUNCTION("""COMPUTED_VALUE"""),3.0)</f>
        <v>3</v>
      </c>
    </row>
    <row r="18" ht="15.75" customHeight="1">
      <c r="B18" s="37">
        <f>IFERROR(__xludf.DUMMYFUNCTION("""COMPUTED_VALUE"""),12.0)</f>
        <v>12</v>
      </c>
      <c r="C18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8" s="37">
        <f>IFERROR(__xludf.DUMMYFUNCTION("""COMPUTED_VALUE"""),3.0)</f>
        <v>3</v>
      </c>
      <c r="E18" s="37" t="str">
        <f>IFERROR(__xludf.DUMMYFUNCTION("""COMPUTED_VALUE"""),"Normalización Parte 1")</f>
        <v>Normalización Parte 1</v>
      </c>
      <c r="F18" s="37" t="str">
        <f>IFERROR(__xludf.DUMMYFUNCTION("""COMPUTED_VALUE"""),"Creación de Tablas")</f>
        <v>Creación de Tablas</v>
      </c>
      <c r="G18" s="37" t="str">
        <f>IFERROR(__xludf.DUMMYFUNCTION("""COMPUTED_VALUE"""),"Agosto")</f>
        <v>Agosto</v>
      </c>
      <c r="H18" s="37">
        <f>IFERROR(__xludf.DUMMYFUNCTION("""COMPUTED_VALUE"""),3.0)</f>
        <v>3</v>
      </c>
    </row>
    <row r="19" ht="15.75" customHeight="1">
      <c r="B19" s="37">
        <f>IFERROR(__xludf.DUMMYFUNCTION("""COMPUTED_VALUE"""),13.0)</f>
        <v>13</v>
      </c>
      <c r="C19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9" s="37">
        <f>IFERROR(__xludf.DUMMYFUNCTION("""COMPUTED_VALUE"""),3.0)</f>
        <v>3</v>
      </c>
      <c r="E19" s="37" t="str">
        <f>IFERROR(__xludf.DUMMYFUNCTION("""COMPUTED_VALUE"""),"Normalización Parte 1")</f>
        <v>Normalización Parte 1</v>
      </c>
      <c r="F19" s="37" t="str">
        <f>IFERROR(__xludf.DUMMYFUNCTION("""COMPUTED_VALUE"""),"Gestión de Tablas")</f>
        <v>Gestión de Tablas</v>
      </c>
      <c r="G19" s="37" t="str">
        <f>IFERROR(__xludf.DUMMYFUNCTION("""COMPUTED_VALUE"""),"Agosto")</f>
        <v>Agosto</v>
      </c>
      <c r="H19" s="37">
        <f>IFERROR(__xludf.DUMMYFUNCTION("""COMPUTED_VALUE"""),3.0)</f>
        <v>3</v>
      </c>
    </row>
    <row r="20" ht="15.75" customHeight="1">
      <c r="B20" s="37">
        <f>IFERROR(__xludf.DUMMYFUNCTION("""COMPUTED_VALUE"""),14.0)</f>
        <v>14</v>
      </c>
      <c r="C20" s="6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20" s="37">
        <f>IFERROR(__xludf.DUMMYFUNCTION("""COMPUTED_VALUE"""),4.0)</f>
        <v>4</v>
      </c>
      <c r="E20" s="37" t="str">
        <f>IFERROR(__xludf.DUMMYFUNCTION("""COMPUTED_VALUE"""),"Normalización Parte 2")</f>
        <v>Normalización Parte 2</v>
      </c>
      <c r="F20" s="37" t="str">
        <f>IFERROR(__xludf.DUMMYFUNCTION("""COMPUTED_VALUE"""),"Tercera Forma Normal")</f>
        <v>Tercera Forma Normal</v>
      </c>
      <c r="G20" s="37" t="str">
        <f>IFERROR(__xludf.DUMMYFUNCTION("""COMPUTED_VALUE"""),"Agosto")</f>
        <v>Agosto</v>
      </c>
      <c r="H20" s="37">
        <f>IFERROR(__xludf.DUMMYFUNCTION("""COMPUTED_VALUE"""),4.0)</f>
        <v>4</v>
      </c>
    </row>
    <row r="21" ht="15.75" customHeight="1">
      <c r="B21" s="37">
        <f>IFERROR(__xludf.DUMMYFUNCTION("""COMPUTED_VALUE"""),15.0)</f>
        <v>15</v>
      </c>
      <c r="C21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1" s="37">
        <f>IFERROR(__xludf.DUMMYFUNCTION("""COMPUTED_VALUE"""),4.0)</f>
        <v>4</v>
      </c>
      <c r="E21" s="37" t="str">
        <f>IFERROR(__xludf.DUMMYFUNCTION("""COMPUTED_VALUE"""),"Normalización Parte 2")</f>
        <v>Normalización Parte 2</v>
      </c>
      <c r="F21" s="37" t="str">
        <f>IFERROR(__xludf.DUMMYFUNCTION("""COMPUTED_VALUE"""),"Null y Not Null")</f>
        <v>Null y Not Null</v>
      </c>
      <c r="G21" s="37" t="str">
        <f>IFERROR(__xludf.DUMMYFUNCTION("""COMPUTED_VALUE"""),"Agosto")</f>
        <v>Agosto</v>
      </c>
      <c r="H21" s="37">
        <f>IFERROR(__xludf.DUMMYFUNCTION("""COMPUTED_VALUE"""),4.0)</f>
        <v>4</v>
      </c>
    </row>
    <row r="22" ht="15.75" customHeight="1">
      <c r="B22" s="37">
        <f>IFERROR(__xludf.DUMMYFUNCTION("""COMPUTED_VALUE"""),16.0)</f>
        <v>16</v>
      </c>
      <c r="C22" s="6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2" s="37">
        <f>IFERROR(__xludf.DUMMYFUNCTION("""COMPUTED_VALUE"""),4.0)</f>
        <v>4</v>
      </c>
      <c r="E22" s="37" t="str">
        <f>IFERROR(__xludf.DUMMYFUNCTION("""COMPUTED_VALUE"""),"Normalización Parte 2")</f>
        <v>Normalización Parte 2</v>
      </c>
      <c r="F22" s="37" t="str">
        <f>IFERROR(__xludf.DUMMYFUNCTION("""COMPUTED_VALUE"""),"Llaves primarias y Check")</f>
        <v>Llaves primarias y Check</v>
      </c>
      <c r="G22" s="37" t="str">
        <f>IFERROR(__xludf.DUMMYFUNCTION("""COMPUTED_VALUE"""),"Agosto")</f>
        <v>Agosto</v>
      </c>
      <c r="H22" s="37">
        <f>IFERROR(__xludf.DUMMYFUNCTION("""COMPUTED_VALUE"""),4.0)</f>
        <v>4</v>
      </c>
    </row>
    <row r="23" ht="15.75" customHeight="1">
      <c r="B23" s="37">
        <f>IFERROR(__xludf.DUMMYFUNCTION("""COMPUTED_VALUE"""),17.0)</f>
        <v>17</v>
      </c>
      <c r="C23" s="6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23" s="37">
        <f>IFERROR(__xludf.DUMMYFUNCTION("""COMPUTED_VALUE"""),4.0)</f>
        <v>4</v>
      </c>
      <c r="E23" s="37" t="str">
        <f>IFERROR(__xludf.DUMMYFUNCTION("""COMPUTED_VALUE"""),"Normalización Parte 2")</f>
        <v>Normalización Parte 2</v>
      </c>
      <c r="F23" s="37" t="str">
        <f>IFERROR(__xludf.DUMMYFUNCTION("""COMPUTED_VALUE"""),"Gestión de Restricciones")</f>
        <v>Gestión de Restricciones</v>
      </c>
      <c r="G23" s="37" t="str">
        <f>IFERROR(__xludf.DUMMYFUNCTION("""COMPUTED_VALUE"""),"Agosto")</f>
        <v>Agosto</v>
      </c>
      <c r="H23" s="37">
        <f>IFERROR(__xludf.DUMMYFUNCTION("""COMPUTED_VALUE"""),4.0)</f>
        <v>4</v>
      </c>
    </row>
    <row r="24" ht="15.75" customHeight="1">
      <c r="B24" s="37">
        <f>IFERROR(__xludf.DUMMYFUNCTION("""COMPUTED_VALUE"""),18.0)</f>
        <v>18</v>
      </c>
      <c r="C24" s="6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24" s="37">
        <f>IFERROR(__xludf.DUMMYFUNCTION("""COMPUTED_VALUE"""),5.0)</f>
        <v>5</v>
      </c>
      <c r="E24" s="37" t="str">
        <f>IFERROR(__xludf.DUMMYFUNCTION("""COMPUTED_VALUE"""),"Consultas")</f>
        <v>Consultas</v>
      </c>
      <c r="F24" s="37" t="str">
        <f>IFERROR(__xludf.DUMMYFUNCTION("""COMPUTED_VALUE"""),"Concatenicación")</f>
        <v>Concatenicación</v>
      </c>
      <c r="G24" s="37" t="str">
        <f>IFERROR(__xludf.DUMMYFUNCTION("""COMPUTED_VALUE"""),"Agosto")</f>
        <v>Agosto</v>
      </c>
      <c r="H24" s="37">
        <f>IFERROR(__xludf.DUMMYFUNCTION("""COMPUTED_VALUE"""),5.0)</f>
        <v>5</v>
      </c>
    </row>
    <row r="25" ht="15.75" customHeight="1">
      <c r="B25" s="37">
        <f>IFERROR(__xludf.DUMMYFUNCTION("""COMPUTED_VALUE"""),19.0)</f>
        <v>19</v>
      </c>
      <c r="C25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5" s="37">
        <f>IFERROR(__xludf.DUMMYFUNCTION("""COMPUTED_VALUE"""),5.0)</f>
        <v>5</v>
      </c>
      <c r="E25" s="37" t="str">
        <f>IFERROR(__xludf.DUMMYFUNCTION("""COMPUTED_VALUE"""),"Consultas")</f>
        <v>Consultas</v>
      </c>
      <c r="F25" s="37" t="str">
        <f>IFERROR(__xludf.DUMMYFUNCTION("""COMPUTED_VALUE"""),"Comparadores y Comparadores Lógicos")</f>
        <v>Comparadores y Comparadores Lógicos</v>
      </c>
      <c r="G25" s="37" t="str">
        <f>IFERROR(__xludf.DUMMYFUNCTION("""COMPUTED_VALUE"""),"Agosto")</f>
        <v>Agosto</v>
      </c>
      <c r="H25" s="37">
        <f>IFERROR(__xludf.DUMMYFUNCTION("""COMPUTED_VALUE"""),5.0)</f>
        <v>5</v>
      </c>
    </row>
    <row r="26" ht="15.75" customHeight="1">
      <c r="B26" s="37">
        <f>IFERROR(__xludf.DUMMYFUNCTION("""COMPUTED_VALUE"""),20.0)</f>
        <v>20</v>
      </c>
      <c r="C26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6" s="37">
        <f>IFERROR(__xludf.DUMMYFUNCTION("""COMPUTED_VALUE"""),5.0)</f>
        <v>5</v>
      </c>
      <c r="E26" s="37" t="str">
        <f>IFERROR(__xludf.DUMMYFUNCTION("""COMPUTED_VALUE"""),"Consultas")</f>
        <v>Consultas</v>
      </c>
      <c r="F26" s="37" t="str">
        <f>IFERROR(__xludf.DUMMYFUNCTION("""COMPUTED_VALUE"""),"Where")</f>
        <v>Where</v>
      </c>
      <c r="G26" s="37" t="str">
        <f>IFERROR(__xludf.DUMMYFUNCTION("""COMPUTED_VALUE"""),"Agosto")</f>
        <v>Agosto</v>
      </c>
      <c r="H26" s="37">
        <f>IFERROR(__xludf.DUMMYFUNCTION("""COMPUTED_VALUE"""),5.0)</f>
        <v>5</v>
      </c>
    </row>
    <row r="27" ht="15.75" customHeight="1">
      <c r="B27" s="37">
        <f>IFERROR(__xludf.DUMMYFUNCTION("""COMPUTED_VALUE"""),21.0)</f>
        <v>21</v>
      </c>
      <c r="C27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7" s="37">
        <f>IFERROR(__xludf.DUMMYFUNCTION("""COMPUTED_VALUE"""),5.0)</f>
        <v>5</v>
      </c>
      <c r="E27" s="37" t="str">
        <f>IFERROR(__xludf.DUMMYFUNCTION("""COMPUTED_VALUE"""),"Consultas")</f>
        <v>Consultas</v>
      </c>
      <c r="F27" s="37" t="str">
        <f>IFERROR(__xludf.DUMMYFUNCTION("""COMPUTED_VALUE"""),"Order By")</f>
        <v>Order By</v>
      </c>
      <c r="G27" s="37" t="str">
        <f>IFERROR(__xludf.DUMMYFUNCTION("""COMPUTED_VALUE"""),"Agosto")</f>
        <v>Agosto</v>
      </c>
      <c r="H27" s="37">
        <f>IFERROR(__xludf.DUMMYFUNCTION("""COMPUTED_VALUE"""),5.0)</f>
        <v>5</v>
      </c>
    </row>
    <row r="28" ht="15.75" customHeight="1">
      <c r="B28" s="37">
        <f>IFERROR(__xludf.DUMMYFUNCTION("""COMPUTED_VALUE"""),22.0)</f>
        <v>22</v>
      </c>
      <c r="C28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8" s="37">
        <f>IFERROR(__xludf.DUMMYFUNCTION("""COMPUTED_VALUE"""),5.0)</f>
        <v>5</v>
      </c>
      <c r="E28" s="37" t="str">
        <f>IFERROR(__xludf.DUMMYFUNCTION("""COMPUTED_VALUE"""),"Consultas")</f>
        <v>Consultas</v>
      </c>
      <c r="F28" s="37" t="str">
        <f>IFERROR(__xludf.DUMMYFUNCTION("""COMPUTED_VALUE"""),"Insert")</f>
        <v>Insert</v>
      </c>
      <c r="G28" s="37" t="str">
        <f>IFERROR(__xludf.DUMMYFUNCTION("""COMPUTED_VALUE"""),"Agosto")</f>
        <v>Agosto</v>
      </c>
      <c r="H28" s="37">
        <f>IFERROR(__xludf.DUMMYFUNCTION("""COMPUTED_VALUE"""),5.0)</f>
        <v>5</v>
      </c>
    </row>
    <row r="29" ht="15.75" customHeight="1">
      <c r="B29" s="37">
        <f>IFERROR(__xludf.DUMMYFUNCTION("""COMPUTED_VALUE"""),23.0)</f>
        <v>23</v>
      </c>
      <c r="C29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9" s="37">
        <f>IFERROR(__xludf.DUMMYFUNCTION("""COMPUTED_VALUE"""),5.0)</f>
        <v>5</v>
      </c>
      <c r="E29" s="37" t="str">
        <f>IFERROR(__xludf.DUMMYFUNCTION("""COMPUTED_VALUE"""),"Consultas")</f>
        <v>Consultas</v>
      </c>
      <c r="F29" s="37" t="str">
        <f>IFERROR(__xludf.DUMMYFUNCTION("""COMPUTED_VALUE"""),"Delete y Update")</f>
        <v>Delete y Update</v>
      </c>
      <c r="G29" s="37" t="str">
        <f>IFERROR(__xludf.DUMMYFUNCTION("""COMPUTED_VALUE"""),"Agosto")</f>
        <v>Agosto</v>
      </c>
      <c r="H29" s="37">
        <f>IFERROR(__xludf.DUMMYFUNCTION("""COMPUTED_VALUE"""),5.0)</f>
        <v>5</v>
      </c>
    </row>
    <row r="30" ht="15.75" customHeight="1">
      <c r="B30" s="37">
        <f>IFERROR(__xludf.DUMMYFUNCTION("""COMPUTED_VALUE"""),24.0)</f>
        <v>24</v>
      </c>
      <c r="C30" s="6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30" s="37">
        <f>IFERROR(__xludf.DUMMYFUNCTION("""COMPUTED_VALUE"""),6.0)</f>
        <v>6</v>
      </c>
      <c r="E30" s="37" t="str">
        <f>IFERROR(__xludf.DUMMYFUNCTION("""COMPUTED_VALUE"""),"Seguridad en las Bases de Datos")</f>
        <v>Seguridad en las Bases de Datos</v>
      </c>
      <c r="F30" s="37" t="str">
        <f>IFERROR(__xludf.DUMMYFUNCTION("""COMPUTED_VALUE"""),"Transacciones de una base de datos. (TCL)")</f>
        <v>Transacciones de una base de datos. (TCL)</v>
      </c>
      <c r="G30" s="37" t="str">
        <f>IFERROR(__xludf.DUMMYFUNCTION("""COMPUTED_VALUE"""),"Agosto")</f>
        <v>Agosto</v>
      </c>
      <c r="H30" s="37">
        <f>IFERROR(__xludf.DUMMYFUNCTION("""COMPUTED_VALUE"""),6.0)</f>
        <v>6</v>
      </c>
    </row>
    <row r="31" ht="15.75" customHeight="1">
      <c r="B31" s="37">
        <f>IFERROR(__xludf.DUMMYFUNCTION("""COMPUTED_VALUE"""),25.0)</f>
        <v>25</v>
      </c>
      <c r="C31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1" s="37">
        <f>IFERROR(__xludf.DUMMYFUNCTION("""COMPUTED_VALUE"""),6.0)</f>
        <v>6</v>
      </c>
      <c r="E31" s="37" t="str">
        <f>IFERROR(__xludf.DUMMYFUNCTION("""COMPUTED_VALUE"""),"Seguridad en las Bases de Datos")</f>
        <v>Seguridad en las Bases de Datos</v>
      </c>
      <c r="F31" s="37" t="str">
        <f>IFERROR(__xludf.DUMMYFUNCTION("""COMPUTED_VALUE"""),"Control de acceso a los usuarios")</f>
        <v>Control de acceso a los usuarios</v>
      </c>
      <c r="G31" s="37" t="str">
        <f>IFERROR(__xludf.DUMMYFUNCTION("""COMPUTED_VALUE"""),"Agosto")</f>
        <v>Agosto</v>
      </c>
      <c r="H31" s="37">
        <f>IFERROR(__xludf.DUMMYFUNCTION("""COMPUTED_VALUE"""),6.0)</f>
        <v>6</v>
      </c>
    </row>
    <row r="32" ht="15.75" customHeight="1">
      <c r="B32" s="37">
        <f>IFERROR(__xludf.DUMMYFUNCTION("""COMPUTED_VALUE"""),26.0)</f>
        <v>26</v>
      </c>
      <c r="C32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2" s="37">
        <f>IFERROR(__xludf.DUMMYFUNCTION("""COMPUTED_VALUE"""),6.0)</f>
        <v>6</v>
      </c>
      <c r="E32" s="37" t="str">
        <f>IFERROR(__xludf.DUMMYFUNCTION("""COMPUTED_VALUE"""),"Seguridad en las Bases de Datos")</f>
        <v>Seguridad en las Bases de Datos</v>
      </c>
      <c r="F32" s="37" t="str">
        <f>IFERROR(__xludf.DUMMYFUNCTION("""COMPUTED_VALUE"""),"Creación y revocación de privilegios")</f>
        <v>Creación y revocación de privilegios</v>
      </c>
      <c r="G32" s="37" t="str">
        <f>IFERROR(__xludf.DUMMYFUNCTION("""COMPUTED_VALUE"""),"Agosto")</f>
        <v>Agosto</v>
      </c>
      <c r="H32" s="37">
        <f>IFERROR(__xludf.DUMMYFUNCTION("""COMPUTED_VALUE"""),6.0)</f>
        <v>6</v>
      </c>
    </row>
    <row r="33" ht="15.75" customHeight="1">
      <c r="B33" s="37">
        <f>IFERROR(__xludf.DUMMYFUNCTION("""COMPUTED_VALUE"""),27.0)</f>
        <v>27</v>
      </c>
      <c r="C33" s="6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33" s="37">
        <f>IFERROR(__xludf.DUMMYFUNCTION("""COMPUTED_VALUE"""),6.0)</f>
        <v>6</v>
      </c>
      <c r="E33" s="37" t="str">
        <f>IFERROR(__xludf.DUMMYFUNCTION("""COMPUTED_VALUE"""),"Seguridad en las Bases de Datos")</f>
        <v>Seguridad en las Bases de Datos</v>
      </c>
      <c r="F33" s="37" t="str">
        <f>IFERROR(__xludf.DUMMYFUNCTION("""COMPUTED_VALUE"""),"Expresiones regulares")</f>
        <v>Expresiones regulares</v>
      </c>
      <c r="G33" s="37" t="str">
        <f>IFERROR(__xludf.DUMMYFUNCTION("""COMPUTED_VALUE"""),"Agosto")</f>
        <v>Agosto</v>
      </c>
      <c r="H33" s="37">
        <f>IFERROR(__xludf.DUMMYFUNCTION("""COMPUTED_VALUE"""),6.0)</f>
        <v>6</v>
      </c>
    </row>
    <row r="34" ht="15.75" customHeight="1">
      <c r="B34" s="37">
        <f>IFERROR(__xludf.DUMMYFUNCTION("""COMPUTED_VALUE"""),46.0)</f>
        <v>46</v>
      </c>
      <c r="C34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4" s="37"/>
      <c r="E34" s="37" t="str">
        <f>IFERROR(__xludf.DUMMYFUNCTION("""COMPUTED_VALUE"""),"JOIN Parte I")</f>
        <v>JOIN Parte I</v>
      </c>
      <c r="F34" s="37" t="str">
        <f>IFERROR(__xludf.DUMMYFUNCTION("""COMPUTED_VALUE"""),"Uniones Cruzadas y Uniones Naturales")</f>
        <v>Uniones Cruzadas y Uniones Naturales</v>
      </c>
      <c r="G34" s="37" t="str">
        <f>IFERROR(__xludf.DUMMYFUNCTION("""COMPUTED_VALUE"""),"Septiembre")</f>
        <v>Septiembre</v>
      </c>
      <c r="H34" s="37">
        <f>IFERROR(__xludf.DUMMYFUNCTION("""COMPUTED_VALUE"""),7.0)</f>
        <v>7</v>
      </c>
    </row>
    <row r="35" ht="15.75" customHeight="1">
      <c r="B35" s="37">
        <f>IFERROR(__xludf.DUMMYFUNCTION("""COMPUTED_VALUE"""),47.0)</f>
        <v>47</v>
      </c>
      <c r="C35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5" s="37"/>
      <c r="E35" s="37" t="str">
        <f>IFERROR(__xludf.DUMMYFUNCTION("""COMPUTED_VALUE"""),"JOIN Parte I")</f>
        <v>JOIN Parte I</v>
      </c>
      <c r="F35" s="37" t="str">
        <f>IFERROR(__xludf.DUMMYFUNCTION("""COMPUTED_VALUE"""),"Cláusulas de Unión")</f>
        <v>Cláusulas de Unión</v>
      </c>
      <c r="G35" s="37" t="str">
        <f>IFERROR(__xludf.DUMMYFUNCTION("""COMPUTED_VALUE"""),"Septiembre")</f>
        <v>Septiembre</v>
      </c>
      <c r="H35" s="37">
        <f>IFERROR(__xludf.DUMMYFUNCTION("""COMPUTED_VALUE"""),7.0)</f>
        <v>7</v>
      </c>
    </row>
    <row r="36" ht="15.75" customHeight="1">
      <c r="B36" s="37">
        <f>IFERROR(__xludf.DUMMYFUNCTION("""COMPUTED_VALUE"""),48.0)</f>
        <v>48</v>
      </c>
      <c r="C36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6" s="37"/>
      <c r="E36" s="37" t="str">
        <f>IFERROR(__xludf.DUMMYFUNCTION("""COMPUTED_VALUE"""),"JOIN Parte I")</f>
        <v>JOIN Parte I</v>
      </c>
      <c r="F36" s="37" t="str">
        <f>IFERROR(__xludf.DUMMYFUNCTION("""COMPUTED_VALUE"""),"Uniones Internas frente a Uniones Externas")</f>
        <v>Uniones Internas frente a Uniones Externas</v>
      </c>
      <c r="G36" s="37" t="str">
        <f>IFERROR(__xludf.DUMMYFUNCTION("""COMPUTED_VALUE"""),"Septiembre")</f>
        <v>Septiembre</v>
      </c>
      <c r="H36" s="37">
        <f>IFERROR(__xludf.DUMMYFUNCTION("""COMPUTED_VALUE"""),7.0)</f>
        <v>7</v>
      </c>
    </row>
    <row r="37" ht="15.75" customHeight="1">
      <c r="B37" s="37">
        <f>IFERROR(__xludf.DUMMYFUNCTION("""COMPUTED_VALUE"""),49.0)</f>
        <v>49</v>
      </c>
      <c r="C37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7" s="37"/>
      <c r="E37" s="37" t="str">
        <f>IFERROR(__xludf.DUMMYFUNCTION("""COMPUTED_VALUE"""),"JOIN Parte I")</f>
        <v>JOIN Parte I</v>
      </c>
      <c r="F37" s="37" t="str">
        <f>IFERROR(__xludf.DUMMYFUNCTION("""COMPUTED_VALUE"""),"Autouniones y Consultas Jerárquicas")</f>
        <v>Autouniones y Consultas Jerárquicas</v>
      </c>
      <c r="G37" s="37" t="str">
        <f>IFERROR(__xludf.DUMMYFUNCTION("""COMPUTED_VALUE"""),"Septiembre")</f>
        <v>Septiembre</v>
      </c>
      <c r="H37" s="37">
        <f>IFERROR(__xludf.DUMMYFUNCTION("""COMPUTED_VALUE"""),7.0)</f>
        <v>7</v>
      </c>
    </row>
    <row r="38" ht="15.75" customHeight="1">
      <c r="B38" s="37">
        <f>IFERROR(__xludf.DUMMYFUNCTION("""COMPUTED_VALUE"""),53.0)</f>
        <v>53</v>
      </c>
      <c r="C38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8" s="37"/>
      <c r="E38" s="37" t="str">
        <f>IFERROR(__xludf.DUMMYFUNCTION("""COMPUTED_VALUE"""),"JOIN Parte II")</f>
        <v>JOIN Parte II</v>
      </c>
      <c r="F38" s="37" t="str">
        <f>IFERROR(__xludf.DUMMYFUNCTION("""COMPUTED_VALUE"""),"Unión Igualitaria y Producto Cartesiano de Oracle")</f>
        <v>Unión Igualitaria y Producto Cartesiano de Oracle</v>
      </c>
      <c r="G38" s="37" t="str">
        <f>IFERROR(__xludf.DUMMYFUNCTION("""COMPUTED_VALUE"""),"Septiembre")</f>
        <v>Septiembre</v>
      </c>
      <c r="H38" s="37">
        <f>IFERROR(__xludf.DUMMYFUNCTION("""COMPUTED_VALUE"""),8.0)</f>
        <v>8</v>
      </c>
    </row>
    <row r="39" ht="15.75" customHeight="1">
      <c r="B39" s="37">
        <f>IFERROR(__xludf.DUMMYFUNCTION("""COMPUTED_VALUE"""),54.0)</f>
        <v>54</v>
      </c>
      <c r="C39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9" s="37"/>
      <c r="E39" s="37" t="str">
        <f>IFERROR(__xludf.DUMMYFUNCTION("""COMPUTED_VALUE"""),"JOIN Parte II")</f>
        <v>JOIN Parte II</v>
      </c>
      <c r="F39" s="37" t="str">
        <f>IFERROR(__xludf.DUMMYFUNCTION("""COMPUTED_VALUE"""),"Uniones No Igualitarias y Uniones Externas de Oracle")</f>
        <v>Uniones No Igualitarias y Uniones Externas de Oracle</v>
      </c>
      <c r="G39" s="37" t="str">
        <f>IFERROR(__xludf.DUMMYFUNCTION("""COMPUTED_VALUE"""),"Septiembre")</f>
        <v>Septiembre</v>
      </c>
      <c r="H39" s="37">
        <f>IFERROR(__xludf.DUMMYFUNCTION("""COMPUTED_VALUE"""),8.0)</f>
        <v>8</v>
      </c>
    </row>
    <row r="40" ht="15.75" customHeight="1">
      <c r="B40" s="37">
        <f>IFERROR(__xludf.DUMMYFUNCTION("""COMPUTED_VALUE"""),60.0)</f>
        <v>60</v>
      </c>
      <c r="C40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0" s="37"/>
      <c r="E40" s="37" t="str">
        <f>IFERROR(__xludf.DUMMYFUNCTION("""COMPUTED_VALUE"""),"Funciones de Una Sola Fila")</f>
        <v>Funciones de Una Sola Fila</v>
      </c>
      <c r="F40" s="37" t="str">
        <f>IFERROR(__xludf.DUMMYFUNCTION("""COMPUTED_VALUE"""),"Manipulación de Mayúsculas/Minúsculas y de Caracteres")</f>
        <v>Manipulación de Mayúsculas/Minúsculas y de Caracteres</v>
      </c>
      <c r="G40" s="37" t="str">
        <f>IFERROR(__xludf.DUMMYFUNCTION("""COMPUTED_VALUE"""),"Septiembre")</f>
        <v>Septiembre</v>
      </c>
      <c r="H40" s="37">
        <f>IFERROR(__xludf.DUMMYFUNCTION("""COMPUTED_VALUE"""),9.0)</f>
        <v>9</v>
      </c>
    </row>
    <row r="41" ht="15.75" customHeight="1">
      <c r="B41" s="37">
        <f>IFERROR(__xludf.DUMMYFUNCTION("""COMPUTED_VALUE"""),61.0)</f>
        <v>61</v>
      </c>
      <c r="C41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1" s="37"/>
      <c r="E41" s="37" t="str">
        <f>IFERROR(__xludf.DUMMYFUNCTION("""COMPUTED_VALUE"""),"Funciones de Una Sola Fila")</f>
        <v>Funciones de Una Sola Fila</v>
      </c>
      <c r="F41" s="37" t="str">
        <f>IFERROR(__xludf.DUMMYFUNCTION("""COMPUTED_VALUE"""),"Funciones Numéricas")</f>
        <v>Funciones Numéricas</v>
      </c>
      <c r="G41" s="37" t="str">
        <f>IFERROR(__xludf.DUMMYFUNCTION("""COMPUTED_VALUE"""),"Septiembre")</f>
        <v>Septiembre</v>
      </c>
      <c r="H41" s="37">
        <f>IFERROR(__xludf.DUMMYFUNCTION("""COMPUTED_VALUE"""),9.0)</f>
        <v>9</v>
      </c>
    </row>
    <row r="42" ht="15.75" customHeight="1">
      <c r="B42" s="37">
        <f>IFERROR(__xludf.DUMMYFUNCTION("""COMPUTED_VALUE"""),62.0)</f>
        <v>62</v>
      </c>
      <c r="C42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2" s="37"/>
      <c r="E42" s="37" t="str">
        <f>IFERROR(__xludf.DUMMYFUNCTION("""COMPUTED_VALUE"""),"Funciones de Una Sola Fila")</f>
        <v>Funciones de Una Sola Fila</v>
      </c>
      <c r="F42" s="37" t="str">
        <f>IFERROR(__xludf.DUMMYFUNCTION("""COMPUTED_VALUE"""),"Funciones de Fecha")</f>
        <v>Funciones de Fecha</v>
      </c>
      <c r="G42" s="37" t="str">
        <f>IFERROR(__xludf.DUMMYFUNCTION("""COMPUTED_VALUE"""),"Septiembre")</f>
        <v>Septiembre</v>
      </c>
      <c r="H42" s="37">
        <f>IFERROR(__xludf.DUMMYFUNCTION("""COMPUTED_VALUE"""),9.0)</f>
        <v>9</v>
      </c>
    </row>
    <row r="43" ht="15.75" customHeight="1">
      <c r="B43" s="37">
        <f>IFERROR(__xludf.DUMMYFUNCTION("""COMPUTED_VALUE"""),63.0)</f>
        <v>63</v>
      </c>
      <c r="C43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3" s="37"/>
      <c r="E43" s="37" t="str">
        <f>IFERROR(__xludf.DUMMYFUNCTION("""COMPUTED_VALUE"""),"Funciones de Una Sola Fila")</f>
        <v>Funciones de Una Sola Fila</v>
      </c>
      <c r="F43" s="37" t="str">
        <f>IFERROR(__xludf.DUMMYFUNCTION("""COMPUTED_VALUE"""),"Funciones de Conversión")</f>
        <v>Funciones de Conversión</v>
      </c>
      <c r="G43" s="37" t="str">
        <f>IFERROR(__xludf.DUMMYFUNCTION("""COMPUTED_VALUE"""),"Septiembre")</f>
        <v>Septiembre</v>
      </c>
      <c r="H43" s="37">
        <f>IFERROR(__xludf.DUMMYFUNCTION("""COMPUTED_VALUE"""),9.0)</f>
        <v>9</v>
      </c>
    </row>
    <row r="44" ht="15.75" customHeight="1">
      <c r="B44" s="37">
        <f>IFERROR(__xludf.DUMMYFUNCTION("""COMPUTED_VALUE"""),64.0)</f>
        <v>64</v>
      </c>
      <c r="C44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4" s="37"/>
      <c r="E44" s="37" t="str">
        <f>IFERROR(__xludf.DUMMYFUNCTION("""COMPUTED_VALUE"""),"Funciones de Una Sola Fila")</f>
        <v>Funciones de Una Sola Fila</v>
      </c>
      <c r="F44" s="37" t="str">
        <f>IFERROR(__xludf.DUMMYFUNCTION("""COMPUTED_VALUE"""),"Funciones NULL")</f>
        <v>Funciones NULL</v>
      </c>
      <c r="G44" s="37" t="str">
        <f>IFERROR(__xludf.DUMMYFUNCTION("""COMPUTED_VALUE"""),"Septiembre")</f>
        <v>Septiembre</v>
      </c>
      <c r="H44" s="37">
        <f>IFERROR(__xludf.DUMMYFUNCTION("""COMPUTED_VALUE"""),9.0)</f>
        <v>9</v>
      </c>
    </row>
    <row r="45" ht="15.75" customHeight="1">
      <c r="B45" s="37">
        <f>IFERROR(__xludf.DUMMYFUNCTION("""COMPUTED_VALUE"""),65.0)</f>
        <v>65</v>
      </c>
      <c r="C45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5" s="37"/>
      <c r="E45" s="37" t="str">
        <f>IFERROR(__xludf.DUMMYFUNCTION("""COMPUTED_VALUE"""),"Funciones de Una Sola Fila")</f>
        <v>Funciones de Una Sola Fila</v>
      </c>
      <c r="F45" s="37" t="str">
        <f>IFERROR(__xludf.DUMMYFUNCTION("""COMPUTED_VALUE"""),"Expresiones Condicionales")</f>
        <v>Expresiones Condicionales</v>
      </c>
      <c r="G45" s="37" t="str">
        <f>IFERROR(__xludf.DUMMYFUNCTION("""COMPUTED_VALUE"""),"Septiembre")</f>
        <v>Septiembre</v>
      </c>
      <c r="H45" s="37">
        <f>IFERROR(__xludf.DUMMYFUNCTION("""COMPUTED_VALUE"""),9.0)</f>
        <v>9</v>
      </c>
    </row>
    <row r="46" ht="15.75" customHeight="1">
      <c r="B46" s="37">
        <f>IFERROR(__xludf.DUMMYFUNCTION("""COMPUTED_VALUE"""),69.0)</f>
        <v>69</v>
      </c>
      <c r="C46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6" s="37"/>
      <c r="E46" s="37" t="str">
        <f>IFERROR(__xludf.DUMMYFUNCTION("""COMPUTED_VALUE"""),"Funciones de Grupo Parte I")</f>
        <v>Funciones de Grupo Parte I</v>
      </c>
      <c r="F46" s="37" t="str">
        <f>IFERROR(__xludf.DUMMYFUNCTION("""COMPUTED_VALUE"""),"Funciones de Grupo")</f>
        <v>Funciones de Grupo</v>
      </c>
      <c r="G46" s="37" t="str">
        <f>IFERROR(__xludf.DUMMYFUNCTION("""COMPUTED_VALUE"""),"Septiembre")</f>
        <v>Septiembre</v>
      </c>
      <c r="H46" s="37">
        <f>IFERROR(__xludf.DUMMYFUNCTION("""COMPUTED_VALUE"""),10.0)</f>
        <v>10</v>
      </c>
    </row>
    <row r="47" ht="15.75" customHeight="1">
      <c r="B47" s="37">
        <f>IFERROR(__xludf.DUMMYFUNCTION("""COMPUTED_VALUE"""),70.0)</f>
        <v>70</v>
      </c>
      <c r="C47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7" s="37"/>
      <c r="E47" s="37" t="str">
        <f>IFERROR(__xludf.DUMMYFUNCTION("""COMPUTED_VALUE"""),"Funciones de Grupo Parte I")</f>
        <v>Funciones de Grupo Parte I</v>
      </c>
      <c r="F47" s="37" t="str">
        <f>IFERROR(__xludf.DUMMYFUNCTION("""COMPUTED_VALUE"""),"COUNT, DISTINCT, NVL")</f>
        <v>COUNT, DISTINCT, NVL</v>
      </c>
      <c r="G47" s="37" t="str">
        <f>IFERROR(__xludf.DUMMYFUNCTION("""COMPUTED_VALUE"""),"Septiembre")</f>
        <v>Septiembre</v>
      </c>
      <c r="H47" s="37">
        <f>IFERROR(__xludf.DUMMYFUNCTION("""COMPUTED_VALUE"""),10.0)</f>
        <v>10</v>
      </c>
    </row>
    <row r="48" ht="15.75" customHeight="1">
      <c r="B48" s="37">
        <f>IFERROR(__xludf.DUMMYFUNCTION("""COMPUTED_VALUE"""),71.0)</f>
        <v>71</v>
      </c>
      <c r="C48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8" s="37"/>
      <c r="E48" s="37" t="str">
        <f>IFERROR(__xludf.DUMMYFUNCTION("""COMPUTED_VALUE"""),"Funciones de Grupo Parte II")</f>
        <v>Funciones de Grupo Parte II</v>
      </c>
      <c r="F48" s="37" t="str">
        <f>IFERROR(__xludf.DUMMYFUNCTION("""COMPUTED_VALUE"""),"Uso de las Cláusulas Group By y Having")</f>
        <v>Uso de las Cláusulas Group By y Having</v>
      </c>
      <c r="G48" s="37" t="str">
        <f>IFERROR(__xludf.DUMMYFUNCTION("""COMPUTED_VALUE"""),"Septiembre")</f>
        <v>Septiembre</v>
      </c>
      <c r="H48" s="37">
        <f>IFERROR(__xludf.DUMMYFUNCTION("""COMPUTED_VALUE"""),10.0)</f>
        <v>10</v>
      </c>
    </row>
    <row r="49" ht="15.75" customHeight="1">
      <c r="B49" s="37">
        <f>IFERROR(__xludf.DUMMYFUNCTION("""COMPUTED_VALUE"""),72.0)</f>
        <v>72</v>
      </c>
      <c r="C49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9" s="37"/>
      <c r="E49" s="37" t="str">
        <f>IFERROR(__xludf.DUMMYFUNCTION("""COMPUTED_VALUE"""),"Funciones de Grupo Parte II")</f>
        <v>Funciones de Grupo Parte II</v>
      </c>
      <c r="F49" s="37" t="str">
        <f>IFERROR(__xludf.DUMMYFUNCTION("""COMPUTED_VALUE"""),"Uso de las Operaciones Rollup y Cube, y Grouping Sets")</f>
        <v>Uso de las Operaciones Rollup y Cube, y Grouping Sets</v>
      </c>
      <c r="G49" s="37" t="str">
        <f>IFERROR(__xludf.DUMMYFUNCTION("""COMPUTED_VALUE"""),"Septiembre")</f>
        <v>Septiembre</v>
      </c>
      <c r="H49" s="37">
        <f>IFERROR(__xludf.DUMMYFUNCTION("""COMPUTED_VALUE"""),10.0)</f>
        <v>10</v>
      </c>
    </row>
    <row r="50" ht="15.75" customHeight="1">
      <c r="B50" s="37">
        <f>IFERROR(__xludf.DUMMYFUNCTION("""COMPUTED_VALUE"""),73.0)</f>
        <v>73</v>
      </c>
      <c r="C50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0" s="37"/>
      <c r="E50" s="37" t="str">
        <f>IFERROR(__xludf.DUMMYFUNCTION("""COMPUTED_VALUE"""),"Funciones de Grupo Parte II")</f>
        <v>Funciones de Grupo Parte II</v>
      </c>
      <c r="F50" s="37" t="str">
        <f>IFERROR(__xludf.DUMMYFUNCTION("""COMPUTED_VALUE"""),"Uso de los Operadores SET")</f>
        <v>Uso de los Operadores SET</v>
      </c>
      <c r="G50" s="37" t="str">
        <f>IFERROR(__xludf.DUMMYFUNCTION("""COMPUTED_VALUE"""),"Septiembre")</f>
        <v>Septiembre</v>
      </c>
      <c r="H50" s="37">
        <f>IFERROR(__xludf.DUMMYFUNCTION("""COMPUTED_VALUE"""),10.0)</f>
        <v>10</v>
      </c>
    </row>
    <row r="51" ht="15.75" customHeight="1">
      <c r="B51" s="37">
        <f>IFERROR(__xludf.DUMMYFUNCTION("""COMPUTED_VALUE"""),77.0)</f>
        <v>77</v>
      </c>
      <c r="C51" s="6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1" s="37"/>
      <c r="E51" s="37" t="str">
        <f>IFERROR(__xludf.DUMMYFUNCTION("""COMPUTED_VALUE"""),"Funciones
")</f>
        <v>Funciones
</v>
      </c>
      <c r="F51" s="37" t="str">
        <f>IFERROR(__xludf.DUMMYFUNCTION("""COMPUTED_VALUE"""),"Qué son las funciones y  su sintaxis")</f>
        <v>Qué son las funciones y  su sintaxis</v>
      </c>
      <c r="G51" s="37" t="str">
        <f>IFERROR(__xludf.DUMMYFUNCTION("""COMPUTED_VALUE"""),"Octubre")</f>
        <v>Octubre</v>
      </c>
      <c r="H51" s="37">
        <f>IFERROR(__xludf.DUMMYFUNCTION("""COMPUTED_VALUE"""),11.0)</f>
        <v>11</v>
      </c>
    </row>
    <row r="52" ht="15.75" customHeight="1">
      <c r="B52" s="37">
        <f>IFERROR(__xludf.DUMMYFUNCTION("""COMPUTED_VALUE"""),78.0)</f>
        <v>78</v>
      </c>
      <c r="C52" s="6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52" s="37"/>
      <c r="E52" s="37" t="str">
        <f>IFERROR(__xludf.DUMMYFUNCTION("""COMPUTED_VALUE"""),"Procedimientos")</f>
        <v>Procedimientos</v>
      </c>
      <c r="F52" s="37" t="str">
        <f>IFERROR(__xludf.DUMMYFUNCTION("""COMPUTED_VALUE"""),"Qué son las procedimientos y  su sintaxis")</f>
        <v>Qué son las procedimientos y  su sintaxis</v>
      </c>
      <c r="G52" s="37" t="str">
        <f>IFERROR(__xludf.DUMMYFUNCTION("""COMPUTED_VALUE"""),"Octubre")</f>
        <v>Octubre</v>
      </c>
      <c r="H52" s="37">
        <f>IFERROR(__xludf.DUMMYFUNCTION("""COMPUTED_VALUE"""),11.0)</f>
        <v>11</v>
      </c>
    </row>
    <row r="53" ht="15.75" customHeight="1">
      <c r="B53" s="37">
        <f>IFERROR(__xludf.DUMMYFUNCTION("""COMPUTED_VALUE"""),86.0)</f>
        <v>86</v>
      </c>
      <c r="C53" s="6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3" s="37"/>
      <c r="E53" s="37" t="str">
        <f>IFERROR(__xludf.DUMMYFUNCTION("""COMPUTED_VALUE"""),"Vistas")</f>
        <v>Vistas</v>
      </c>
      <c r="F53" s="37" t="str">
        <f>IFERROR(__xludf.DUMMYFUNCTION("""COMPUTED_VALUE"""),"Creación de Vistas")</f>
        <v>Creación de Vistas</v>
      </c>
      <c r="G53" s="37" t="str">
        <f>IFERROR(__xludf.DUMMYFUNCTION("""COMPUTED_VALUE"""),"Octubre")</f>
        <v>Octubre</v>
      </c>
      <c r="H53" s="37">
        <f>IFERROR(__xludf.DUMMYFUNCTION("""COMPUTED_VALUE"""),11.0)</f>
        <v>11</v>
      </c>
    </row>
    <row r="54" ht="15.75" customHeight="1">
      <c r="B54" s="37">
        <f>IFERROR(__xludf.DUMMYFUNCTION("""COMPUTED_VALUE"""),87.0)</f>
        <v>87</v>
      </c>
      <c r="C54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4" s="37"/>
      <c r="E54" s="37" t="str">
        <f>IFERROR(__xludf.DUMMYFUNCTION("""COMPUTED_VALUE"""),"Vistas")</f>
        <v>Vistas</v>
      </c>
      <c r="F54" s="37" t="str">
        <f>IFERROR(__xludf.DUMMYFUNCTION("""COMPUTED_VALUE"""),"Operaciones DML y Vistas")</f>
        <v>Operaciones DML y Vistas</v>
      </c>
      <c r="G54" s="37" t="str">
        <f>IFERROR(__xludf.DUMMYFUNCTION("""COMPUTED_VALUE"""),"Octubre")</f>
        <v>Octubre</v>
      </c>
      <c r="H54" s="37">
        <f>IFERROR(__xludf.DUMMYFUNCTION("""COMPUTED_VALUE"""),11.0)</f>
        <v>11</v>
      </c>
    </row>
    <row r="55" ht="15.75" customHeight="1">
      <c r="B55" s="37">
        <f>IFERROR(__xludf.DUMMYFUNCTION("""COMPUTED_VALUE"""),88.0)</f>
        <v>88</v>
      </c>
      <c r="C55" s="6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5" s="37"/>
      <c r="E55" s="37" t="str">
        <f>IFERROR(__xludf.DUMMYFUNCTION("""COMPUTED_VALUE"""),"Vistas")</f>
        <v>Vistas</v>
      </c>
      <c r="F55" s="37" t="str">
        <f>IFERROR(__xludf.DUMMYFUNCTION("""COMPUTED_VALUE"""),"Gestión de Vistas")</f>
        <v>Gestión de Vistas</v>
      </c>
      <c r="G55" s="37" t="str">
        <f>IFERROR(__xludf.DUMMYFUNCTION("""COMPUTED_VALUE"""),"Octubre")</f>
        <v>Octubre</v>
      </c>
      <c r="H55" s="37">
        <f>IFERROR(__xludf.DUMMYFUNCTION("""COMPUTED_VALUE"""),11.0)</f>
        <v>11</v>
      </c>
    </row>
    <row r="56" ht="15.75" customHeight="1">
      <c r="B56" s="37"/>
      <c r="C56" s="6"/>
      <c r="D56" s="37"/>
      <c r="E56" s="37"/>
      <c r="F56" s="37"/>
      <c r="G56" s="37"/>
      <c r="H56" s="37"/>
    </row>
    <row r="57" ht="15.75" customHeight="1">
      <c r="B57" s="37"/>
      <c r="C57" s="6"/>
      <c r="D57" s="37"/>
      <c r="E57" s="37"/>
      <c r="F57" s="37"/>
      <c r="G57" s="37"/>
      <c r="H57" s="37"/>
    </row>
    <row r="58" ht="15.75" customHeight="1">
      <c r="B58" s="37"/>
      <c r="C58" s="6"/>
      <c r="D58" s="37"/>
      <c r="E58" s="37"/>
      <c r="F58" s="37"/>
      <c r="G58" s="37"/>
      <c r="H58" s="37"/>
    </row>
    <row r="59" ht="15.75" customHeight="1">
      <c r="B59" s="37"/>
      <c r="C59" s="6"/>
      <c r="D59" s="37"/>
      <c r="E59" s="37"/>
      <c r="F59" s="37"/>
      <c r="G59" s="37"/>
      <c r="H59" s="37"/>
    </row>
    <row r="60" ht="15.75" customHeight="1">
      <c r="B60" s="37"/>
      <c r="C60" s="6"/>
      <c r="D60" s="37"/>
      <c r="E60" s="37"/>
      <c r="F60" s="37"/>
      <c r="G60" s="37"/>
      <c r="H60" s="37"/>
    </row>
    <row r="61" ht="15.75" customHeight="1">
      <c r="B61" s="37"/>
      <c r="C61" s="6"/>
      <c r="D61" s="37"/>
      <c r="E61" s="37"/>
      <c r="F61" s="37"/>
      <c r="G61" s="37"/>
      <c r="H61" s="37"/>
    </row>
    <row r="62" ht="15.75" customHeight="1">
      <c r="B62" s="37"/>
      <c r="C62" s="6"/>
      <c r="D62" s="37"/>
      <c r="E62" s="37"/>
      <c r="F62" s="37"/>
      <c r="G62" s="37"/>
      <c r="H62" s="37"/>
    </row>
    <row r="63" ht="15.75" customHeight="1">
      <c r="B63" s="37"/>
      <c r="C63" s="6"/>
      <c r="D63" s="37"/>
      <c r="E63" s="37"/>
      <c r="F63" s="37"/>
      <c r="G63" s="37"/>
      <c r="H63" s="37"/>
    </row>
    <row r="64" ht="15.75" customHeight="1">
      <c r="B64" s="37"/>
      <c r="C64" s="6"/>
      <c r="D64" s="37"/>
      <c r="E64" s="37"/>
      <c r="F64" s="37"/>
      <c r="G64" s="37"/>
      <c r="H64" s="37"/>
    </row>
    <row r="65" ht="15.75" customHeight="1">
      <c r="B65" s="37"/>
      <c r="C65" s="6"/>
      <c r="D65" s="37"/>
      <c r="E65" s="37"/>
      <c r="F65" s="37"/>
      <c r="G65" s="37"/>
      <c r="H65" s="37"/>
    </row>
    <row r="66" ht="15.75" customHeight="1">
      <c r="B66" s="37"/>
      <c r="C66" s="6"/>
      <c r="D66" s="37"/>
      <c r="E66" s="37"/>
      <c r="F66" s="37"/>
      <c r="G66" s="37"/>
      <c r="H66" s="37"/>
    </row>
    <row r="67" ht="15.75" customHeight="1">
      <c r="B67" s="37"/>
      <c r="C67" s="6"/>
      <c r="D67" s="37"/>
      <c r="E67" s="37"/>
      <c r="F67" s="37"/>
      <c r="G67" s="37"/>
      <c r="H67" s="37"/>
    </row>
    <row r="68" ht="15.75" customHeight="1">
      <c r="B68" s="37"/>
      <c r="C68" s="6"/>
      <c r="D68" s="37"/>
      <c r="E68" s="37"/>
      <c r="F68" s="37"/>
      <c r="G68" s="37"/>
      <c r="H68" s="37"/>
    </row>
    <row r="69" ht="15.75" customHeight="1">
      <c r="B69" s="37"/>
      <c r="C69" s="6"/>
      <c r="D69" s="37"/>
      <c r="E69" s="37"/>
      <c r="F69" s="37"/>
      <c r="G69" s="37"/>
      <c r="H69" s="37"/>
    </row>
    <row r="70" ht="15.75" customHeight="1">
      <c r="B70" s="37"/>
      <c r="C70" s="6"/>
      <c r="D70" s="37"/>
      <c r="E70" s="37"/>
      <c r="F70" s="37"/>
      <c r="G70" s="37"/>
      <c r="H70" s="37"/>
    </row>
    <row r="71" ht="15.75" customHeight="1">
      <c r="B71" s="37"/>
      <c r="C71" s="6"/>
      <c r="D71" s="37"/>
      <c r="E71" s="37"/>
      <c r="F71" s="37"/>
      <c r="G71" s="37"/>
      <c r="H71" s="37"/>
    </row>
    <row r="72" ht="15.75" customHeight="1">
      <c r="B72" s="37"/>
      <c r="C72" s="6"/>
      <c r="D72" s="37"/>
      <c r="E72" s="37"/>
      <c r="F72" s="37"/>
      <c r="G72" s="37"/>
      <c r="H72" s="37"/>
    </row>
    <row r="73" ht="15.75" customHeight="1">
      <c r="B73" s="37"/>
      <c r="C73" s="6"/>
      <c r="D73" s="37"/>
      <c r="E73" s="37"/>
      <c r="F73" s="37"/>
      <c r="G73" s="37"/>
      <c r="H73" s="37"/>
    </row>
    <row r="74" ht="15.75" customHeight="1">
      <c r="B74" s="37"/>
      <c r="C74" s="6"/>
      <c r="D74" s="37"/>
      <c r="E74" s="37"/>
      <c r="F74" s="37"/>
      <c r="G74" s="37"/>
      <c r="H74" s="37"/>
    </row>
    <row r="75" ht="15.75" customHeight="1">
      <c r="B75" s="37"/>
      <c r="C75" s="6"/>
      <c r="D75" s="37"/>
      <c r="E75" s="37"/>
      <c r="F75" s="37"/>
      <c r="G75" s="37"/>
      <c r="H75" s="37"/>
    </row>
    <row r="76" ht="15.75" customHeight="1">
      <c r="B76" s="37"/>
      <c r="C76" s="6"/>
      <c r="D76" s="37"/>
      <c r="E76" s="37"/>
      <c r="F76" s="37"/>
      <c r="G76" s="37"/>
      <c r="H76" s="37"/>
    </row>
    <row r="77" ht="15.75" customHeight="1">
      <c r="B77" s="37"/>
      <c r="C77" s="6"/>
      <c r="D77" s="37"/>
      <c r="E77" s="37"/>
      <c r="F77" s="37"/>
      <c r="G77" s="37"/>
      <c r="H77" s="37"/>
    </row>
    <row r="78" ht="15.75" customHeight="1">
      <c r="B78" s="37"/>
      <c r="C78" s="6"/>
      <c r="D78" s="37"/>
      <c r="E78" s="37"/>
      <c r="F78" s="37"/>
      <c r="G78" s="37"/>
      <c r="H78" s="37"/>
    </row>
    <row r="79" ht="15.75" customHeight="1">
      <c r="B79" s="37"/>
      <c r="C79" s="6"/>
      <c r="D79" s="37"/>
      <c r="E79" s="37"/>
      <c r="F79" s="37"/>
      <c r="G79" s="37"/>
      <c r="H79" s="37"/>
    </row>
    <row r="80" ht="15.75" customHeight="1">
      <c r="B80" s="37"/>
      <c r="C80" s="6"/>
      <c r="D80" s="37"/>
      <c r="E80" s="37"/>
      <c r="F80" s="37"/>
      <c r="G80" s="37"/>
      <c r="H80" s="37"/>
    </row>
    <row r="81" ht="15.75" customHeight="1">
      <c r="B81" s="37"/>
      <c r="C81" s="6"/>
      <c r="D81" s="37"/>
      <c r="E81" s="37"/>
      <c r="F81" s="37"/>
      <c r="G81" s="37"/>
      <c r="H81" s="37"/>
    </row>
    <row r="82" ht="15.75" customHeight="1">
      <c r="B82" s="37"/>
      <c r="C82" s="6"/>
      <c r="D82" s="37"/>
      <c r="E82" s="37"/>
      <c r="F82" s="37"/>
      <c r="G82" s="37"/>
      <c r="H82" s="37"/>
    </row>
    <row r="83" ht="15.75" customHeight="1">
      <c r="B83" s="37"/>
      <c r="C83" s="6"/>
      <c r="D83" s="37"/>
      <c r="E83" s="37"/>
      <c r="F83" s="37"/>
      <c r="G83" s="37"/>
      <c r="H83" s="37"/>
    </row>
    <row r="84" ht="15.75" customHeight="1">
      <c r="B84" s="37"/>
      <c r="C84" s="6"/>
      <c r="D84" s="37"/>
      <c r="E84" s="37"/>
      <c r="F84" s="37"/>
      <c r="G84" s="37"/>
      <c r="H84" s="37"/>
    </row>
    <row r="85" ht="15.75" customHeight="1">
      <c r="B85" s="37"/>
      <c r="C85" s="6"/>
      <c r="D85" s="37"/>
      <c r="E85" s="37"/>
      <c r="F85" s="37"/>
      <c r="G85" s="37"/>
      <c r="H85" s="37"/>
    </row>
    <row r="86" ht="15.75" customHeight="1">
      <c r="B86" s="37"/>
      <c r="C86" s="6"/>
      <c r="D86" s="37"/>
      <c r="E86" s="37"/>
      <c r="F86" s="37"/>
      <c r="G86" s="37"/>
      <c r="H86" s="37"/>
    </row>
    <row r="87" ht="15.75" customHeight="1">
      <c r="B87" s="37"/>
      <c r="C87" s="6"/>
      <c r="D87" s="37"/>
      <c r="E87" s="37"/>
      <c r="F87" s="37"/>
      <c r="G87" s="37"/>
      <c r="H87" s="37"/>
    </row>
    <row r="88" ht="15.75" customHeight="1">
      <c r="B88" s="37"/>
      <c r="C88" s="6"/>
      <c r="D88" s="37"/>
      <c r="E88" s="37"/>
      <c r="F88" s="37"/>
      <c r="G88" s="37"/>
      <c r="H88" s="37"/>
    </row>
    <row r="89" ht="15.75" customHeight="1">
      <c r="B89" s="37"/>
      <c r="C89" s="6"/>
      <c r="D89" s="37"/>
      <c r="E89" s="37"/>
      <c r="F89" s="37"/>
      <c r="G89" s="37"/>
      <c r="H89" s="37"/>
    </row>
    <row r="90" ht="15.75" customHeight="1">
      <c r="B90" s="37"/>
      <c r="C90" s="6"/>
      <c r="D90" s="37"/>
      <c r="E90" s="37"/>
      <c r="F90" s="37"/>
      <c r="G90" s="37"/>
      <c r="H90" s="37"/>
    </row>
    <row r="91" ht="15.75" customHeight="1">
      <c r="B91" s="37"/>
      <c r="C91" s="6"/>
      <c r="D91" s="37"/>
      <c r="E91" s="37"/>
      <c r="F91" s="37"/>
      <c r="G91" s="37"/>
      <c r="H91" s="37"/>
    </row>
    <row r="92" ht="15.75" customHeight="1">
      <c r="B92" s="37"/>
      <c r="C92" s="6"/>
      <c r="D92" s="37"/>
      <c r="E92" s="37"/>
      <c r="F92" s="37"/>
      <c r="G92" s="37"/>
      <c r="H92" s="37"/>
    </row>
    <row r="93" ht="15.75" customHeight="1">
      <c r="B93" s="37"/>
      <c r="C93" s="6"/>
      <c r="D93" s="37"/>
      <c r="E93" s="37"/>
      <c r="F93" s="37"/>
      <c r="G93" s="37"/>
      <c r="H93" s="37"/>
    </row>
    <row r="94" ht="15.75" customHeight="1">
      <c r="B94" s="37"/>
      <c r="C94" s="6"/>
      <c r="D94" s="37"/>
      <c r="E94" s="37"/>
      <c r="F94" s="37"/>
      <c r="G94" s="37"/>
      <c r="H94" s="37"/>
    </row>
    <row r="95" ht="15.75" customHeight="1">
      <c r="B95" s="37"/>
      <c r="C95" s="6"/>
      <c r="D95" s="37"/>
      <c r="E95" s="37"/>
      <c r="F95" s="37"/>
      <c r="G95" s="37"/>
      <c r="H95" s="37"/>
    </row>
    <row r="96" ht="15.75" customHeight="1">
      <c r="B96" s="37"/>
      <c r="C96" s="6"/>
      <c r="D96" s="37"/>
      <c r="E96" s="37"/>
      <c r="F96" s="37"/>
      <c r="G96" s="37"/>
      <c r="H96" s="37"/>
    </row>
    <row r="97" ht="15.75" customHeight="1">
      <c r="B97" s="37"/>
      <c r="C97" s="6"/>
      <c r="D97" s="37"/>
      <c r="E97" s="37"/>
      <c r="F97" s="37"/>
      <c r="G97" s="37"/>
      <c r="H97" s="37"/>
    </row>
    <row r="98" ht="15.75" customHeight="1">
      <c r="B98" s="37"/>
      <c r="C98" s="6"/>
      <c r="D98" s="37"/>
      <c r="E98" s="37"/>
      <c r="F98" s="37"/>
      <c r="G98" s="37"/>
      <c r="H98" s="37"/>
    </row>
    <row r="99" ht="15.75" customHeight="1">
      <c r="B99" s="37"/>
      <c r="C99" s="6"/>
      <c r="D99" s="37"/>
      <c r="E99" s="37"/>
      <c r="F99" s="37"/>
      <c r="G99" s="37"/>
      <c r="H99" s="37"/>
    </row>
    <row r="100" ht="15.75" customHeight="1">
      <c r="B100" s="37"/>
      <c r="C100" s="6"/>
      <c r="D100" s="37"/>
      <c r="E100" s="37"/>
      <c r="F100" s="37"/>
      <c r="G100" s="37"/>
      <c r="H100" s="37"/>
    </row>
    <row r="101" ht="15.75" customHeight="1">
      <c r="B101" s="37"/>
      <c r="C101" s="6"/>
      <c r="D101" s="37"/>
      <c r="E101" s="37"/>
      <c r="F101" s="37"/>
      <c r="G101" s="37"/>
      <c r="H101" s="37"/>
    </row>
    <row r="102" ht="15.75" customHeight="1">
      <c r="B102" s="37"/>
      <c r="C102" s="6"/>
      <c r="D102" s="37"/>
      <c r="E102" s="37"/>
      <c r="F102" s="37"/>
      <c r="G102" s="37"/>
      <c r="H102" s="37"/>
    </row>
    <row r="103" ht="15.75" customHeight="1">
      <c r="B103" s="37"/>
      <c r="C103" s="6"/>
      <c r="D103" s="37"/>
      <c r="E103" s="37"/>
      <c r="F103" s="37"/>
      <c r="G103" s="37"/>
      <c r="H103" s="37"/>
    </row>
    <row r="104" ht="15.75" customHeight="1">
      <c r="B104" s="37"/>
      <c r="C104" s="6"/>
      <c r="D104" s="37"/>
      <c r="E104" s="37"/>
      <c r="F104" s="37"/>
      <c r="G104" s="37"/>
      <c r="H104" s="37"/>
    </row>
    <row r="105" ht="15.75" customHeight="1">
      <c r="B105" s="37"/>
      <c r="C105" s="6"/>
      <c r="D105" s="37"/>
      <c r="E105" s="37"/>
      <c r="F105" s="37"/>
      <c r="G105" s="37"/>
      <c r="H105" s="37"/>
    </row>
    <row r="106" ht="15.75" customHeight="1">
      <c r="B106" s="37"/>
      <c r="C106" s="6"/>
      <c r="D106" s="37"/>
      <c r="E106" s="37"/>
      <c r="F106" s="37"/>
      <c r="G106" s="37"/>
      <c r="H106" s="37"/>
    </row>
    <row r="107" ht="15.75" customHeight="1">
      <c r="B107" s="37"/>
      <c r="C107" s="6"/>
      <c r="D107" s="37"/>
      <c r="E107" s="37"/>
      <c r="F107" s="37"/>
      <c r="G107" s="37"/>
      <c r="H107" s="37"/>
    </row>
    <row r="108" ht="15.75" customHeight="1">
      <c r="B108" s="37"/>
      <c r="C108" s="6"/>
      <c r="D108" s="37"/>
      <c r="E108" s="37"/>
      <c r="F108" s="37"/>
      <c r="G108" s="37"/>
      <c r="H108" s="37"/>
    </row>
    <row r="109" ht="15.75" customHeight="1">
      <c r="B109" s="37"/>
      <c r="C109" s="6"/>
      <c r="D109" s="37"/>
      <c r="E109" s="37"/>
      <c r="F109" s="37"/>
      <c r="G109" s="37"/>
      <c r="H109" s="37"/>
    </row>
    <row r="110" ht="15.75" customHeight="1">
      <c r="B110" s="37"/>
      <c r="C110" s="6"/>
      <c r="D110" s="37"/>
      <c r="E110" s="37"/>
      <c r="F110" s="37"/>
      <c r="G110" s="37"/>
      <c r="H110" s="37"/>
    </row>
    <row r="111" ht="15.75" customHeight="1">
      <c r="B111" s="37"/>
      <c r="C111" s="6"/>
      <c r="D111" s="37"/>
      <c r="E111" s="37"/>
      <c r="F111" s="37"/>
      <c r="G111" s="37"/>
      <c r="H111" s="37"/>
    </row>
    <row r="112" ht="15.75" customHeight="1">
      <c r="B112" s="37"/>
      <c r="C112" s="6"/>
      <c r="D112" s="37"/>
      <c r="E112" s="37"/>
      <c r="F112" s="37"/>
      <c r="G112" s="37"/>
      <c r="H112" s="37"/>
    </row>
    <row r="113" ht="15.75" customHeight="1">
      <c r="B113" s="37"/>
      <c r="C113" s="6"/>
      <c r="D113" s="37"/>
      <c r="E113" s="37"/>
      <c r="F113" s="37"/>
      <c r="G113" s="37"/>
      <c r="H113" s="37"/>
    </row>
    <row r="114" ht="15.75" customHeight="1">
      <c r="B114" s="37"/>
      <c r="C114" s="6"/>
      <c r="D114" s="37"/>
      <c r="E114" s="37"/>
      <c r="F114" s="37"/>
      <c r="G114" s="37"/>
      <c r="H114" s="37"/>
    </row>
    <row r="115" ht="15.75" customHeight="1">
      <c r="B115" s="37"/>
      <c r="C115" s="6"/>
      <c r="D115" s="37"/>
      <c r="E115" s="37"/>
      <c r="F115" s="37"/>
      <c r="G115" s="37"/>
      <c r="H115" s="37"/>
    </row>
    <row r="116" ht="15.75" customHeight="1">
      <c r="B116" s="37"/>
      <c r="C116" s="6"/>
      <c r="D116" s="37"/>
      <c r="E116" s="37"/>
      <c r="F116" s="37"/>
      <c r="G116" s="37"/>
      <c r="H116" s="37"/>
    </row>
    <row r="117" ht="15.75" customHeight="1">
      <c r="B117" s="37"/>
      <c r="C117" s="6"/>
      <c r="D117" s="37"/>
      <c r="E117" s="37"/>
      <c r="F117" s="37"/>
      <c r="G117" s="37"/>
      <c r="H117" s="37"/>
    </row>
    <row r="118" ht="15.75" customHeight="1">
      <c r="B118" s="37"/>
      <c r="C118" s="6"/>
      <c r="D118" s="37"/>
      <c r="E118" s="37"/>
      <c r="F118" s="37"/>
      <c r="G118" s="37"/>
      <c r="H118" s="37"/>
    </row>
    <row r="119" ht="15.75" customHeight="1">
      <c r="B119" s="37"/>
      <c r="C119" s="6"/>
      <c r="D119" s="37"/>
      <c r="E119" s="37"/>
      <c r="F119" s="37"/>
      <c r="G119" s="37"/>
      <c r="H119" s="37"/>
    </row>
    <row r="120" ht="15.75" customHeight="1">
      <c r="B120" s="37"/>
      <c r="C120" s="6"/>
      <c r="D120" s="37"/>
      <c r="E120" s="37"/>
      <c r="F120" s="37"/>
      <c r="G120" s="37"/>
      <c r="H120" s="37"/>
    </row>
    <row r="121" ht="15.75" customHeight="1">
      <c r="B121" s="37"/>
      <c r="C121" s="6"/>
      <c r="D121" s="37"/>
      <c r="E121" s="37"/>
      <c r="F121" s="37"/>
      <c r="G121" s="37"/>
      <c r="H121" s="37"/>
    </row>
    <row r="122" ht="15.75" customHeight="1">
      <c r="B122" s="37"/>
      <c r="C122" s="6"/>
      <c r="D122" s="37"/>
      <c r="E122" s="37"/>
      <c r="F122" s="37"/>
      <c r="G122" s="37"/>
      <c r="H122" s="37"/>
    </row>
    <row r="123" ht="15.75" customHeight="1">
      <c r="B123" s="37"/>
      <c r="C123" s="6"/>
      <c r="D123" s="37"/>
      <c r="E123" s="37"/>
      <c r="F123" s="37"/>
      <c r="G123" s="37"/>
      <c r="H123" s="37"/>
    </row>
    <row r="124" ht="15.75" customHeight="1">
      <c r="B124" s="37"/>
      <c r="C124" s="6"/>
      <c r="D124" s="37"/>
      <c r="E124" s="37"/>
      <c r="F124" s="37"/>
      <c r="G124" s="37"/>
      <c r="H124" s="37"/>
    </row>
    <row r="125" ht="15.75" customHeight="1">
      <c r="B125" s="37"/>
      <c r="C125" s="6"/>
      <c r="D125" s="37"/>
      <c r="E125" s="37"/>
      <c r="F125" s="37"/>
      <c r="G125" s="37"/>
      <c r="H125" s="37"/>
    </row>
    <row r="126" ht="15.75" customHeight="1">
      <c r="B126" s="37"/>
      <c r="C126" s="6"/>
      <c r="D126" s="37"/>
      <c r="E126" s="37"/>
      <c r="F126" s="37"/>
      <c r="G126" s="37"/>
      <c r="H126" s="37"/>
    </row>
    <row r="127" ht="15.75" customHeight="1">
      <c r="B127" s="37"/>
      <c r="C127" s="6"/>
      <c r="D127" s="37"/>
      <c r="E127" s="37"/>
      <c r="F127" s="37"/>
      <c r="G127" s="37"/>
      <c r="H127" s="37"/>
    </row>
    <row r="128" ht="15.75" customHeight="1">
      <c r="B128" s="37"/>
      <c r="C128" s="6"/>
      <c r="D128" s="37"/>
      <c r="E128" s="37"/>
      <c r="F128" s="37"/>
      <c r="G128" s="37"/>
      <c r="H128" s="37"/>
    </row>
    <row r="129" ht="15.75" customHeight="1">
      <c r="B129" s="37"/>
      <c r="C129" s="6"/>
      <c r="D129" s="37"/>
      <c r="E129" s="37"/>
      <c r="F129" s="37"/>
      <c r="G129" s="37"/>
      <c r="H129" s="37"/>
    </row>
    <row r="130" ht="15.75" customHeight="1">
      <c r="B130" s="37"/>
      <c r="C130" s="6"/>
      <c r="D130" s="37"/>
      <c r="E130" s="37"/>
      <c r="F130" s="37"/>
      <c r="G130" s="37"/>
      <c r="H130" s="37"/>
    </row>
    <row r="131" ht="15.75" customHeight="1">
      <c r="B131" s="37"/>
      <c r="C131" s="6"/>
      <c r="D131" s="37"/>
      <c r="E131" s="37"/>
      <c r="F131" s="37"/>
      <c r="G131" s="37"/>
      <c r="H131" s="37"/>
    </row>
    <row r="132" ht="15.75" customHeight="1">
      <c r="B132" s="37"/>
      <c r="C132" s="6"/>
      <c r="D132" s="37"/>
      <c r="E132" s="37"/>
      <c r="F132" s="37"/>
      <c r="G132" s="37"/>
      <c r="H132" s="37"/>
    </row>
    <row r="133" ht="15.75" customHeight="1">
      <c r="B133" s="37"/>
      <c r="C133" s="6"/>
      <c r="D133" s="37"/>
      <c r="E133" s="37"/>
      <c r="F133" s="37"/>
      <c r="G133" s="37"/>
      <c r="H133" s="37"/>
    </row>
    <row r="134" ht="15.75" customHeight="1">
      <c r="B134" s="37"/>
      <c r="C134" s="6"/>
      <c r="D134" s="37"/>
      <c r="E134" s="37"/>
      <c r="F134" s="37"/>
      <c r="G134" s="37"/>
      <c r="H134" s="37"/>
    </row>
    <row r="135" ht="15.75" customHeight="1">
      <c r="B135" s="37"/>
      <c r="C135" s="6"/>
      <c r="D135" s="37"/>
      <c r="E135" s="37"/>
      <c r="F135" s="37"/>
      <c r="G135" s="37"/>
      <c r="H135" s="37"/>
    </row>
    <row r="136" ht="15.75" customHeight="1">
      <c r="B136" s="37"/>
      <c r="C136" s="6"/>
      <c r="D136" s="37"/>
      <c r="E136" s="37"/>
      <c r="F136" s="37"/>
      <c r="G136" s="37"/>
      <c r="H136" s="37"/>
    </row>
    <row r="137" ht="15.75" customHeight="1">
      <c r="B137" s="37"/>
      <c r="C137" s="6"/>
      <c r="D137" s="37"/>
      <c r="E137" s="37"/>
      <c r="F137" s="37"/>
      <c r="G137" s="37"/>
      <c r="H137" s="37"/>
    </row>
    <row r="138" ht="15.75" customHeight="1">
      <c r="B138" s="37"/>
      <c r="C138" s="6"/>
      <c r="D138" s="37"/>
      <c r="E138" s="37"/>
      <c r="F138" s="37"/>
      <c r="G138" s="37"/>
      <c r="H138" s="37"/>
    </row>
    <row r="139" ht="15.75" customHeight="1">
      <c r="B139" s="37"/>
      <c r="C139" s="6"/>
      <c r="D139" s="37"/>
      <c r="E139" s="37"/>
      <c r="F139" s="37"/>
      <c r="G139" s="37"/>
      <c r="H139" s="37"/>
    </row>
    <row r="140" ht="15.75" customHeight="1">
      <c r="B140" s="37"/>
      <c r="C140" s="6"/>
      <c r="D140" s="37"/>
      <c r="E140" s="37"/>
      <c r="F140" s="37"/>
      <c r="G140" s="37"/>
      <c r="H140" s="37"/>
    </row>
    <row r="141" ht="15.75" customHeight="1">
      <c r="B141" s="37"/>
      <c r="C141" s="6"/>
      <c r="D141" s="37"/>
      <c r="E141" s="37"/>
      <c r="F141" s="37"/>
      <c r="G141" s="37"/>
      <c r="H141" s="37"/>
    </row>
    <row r="142" ht="15.75" customHeight="1">
      <c r="B142" s="37"/>
      <c r="C142" s="6"/>
      <c r="D142" s="37"/>
      <c r="E142" s="37"/>
      <c r="F142" s="37"/>
      <c r="G142" s="37"/>
      <c r="H142" s="37"/>
    </row>
    <row r="143" ht="15.75" customHeight="1">
      <c r="B143" s="37"/>
      <c r="C143" s="6"/>
      <c r="D143" s="37"/>
      <c r="E143" s="37"/>
      <c r="F143" s="37"/>
      <c r="G143" s="37"/>
      <c r="H143" s="37"/>
    </row>
    <row r="144" ht="15.75" customHeight="1">
      <c r="B144" s="37"/>
      <c r="C144" s="6"/>
      <c r="D144" s="37"/>
      <c r="E144" s="37"/>
      <c r="F144" s="37"/>
      <c r="G144" s="37"/>
      <c r="H144" s="37"/>
    </row>
    <row r="145" ht="15.75" customHeight="1">
      <c r="B145" s="37"/>
      <c r="C145" s="6"/>
      <c r="D145" s="37"/>
      <c r="E145" s="37"/>
      <c r="F145" s="37"/>
      <c r="G145" s="37"/>
      <c r="H145" s="37"/>
    </row>
    <row r="146" ht="15.75" customHeight="1">
      <c r="B146" s="37"/>
      <c r="C146" s="6"/>
      <c r="D146" s="37"/>
      <c r="E146" s="37"/>
      <c r="F146" s="37"/>
      <c r="G146" s="37"/>
      <c r="H146" s="37"/>
    </row>
    <row r="147" ht="15.75" customHeight="1">
      <c r="B147" s="37"/>
      <c r="C147" s="6"/>
      <c r="D147" s="37"/>
      <c r="E147" s="37"/>
      <c r="F147" s="37"/>
      <c r="G147" s="37"/>
      <c r="H147" s="37"/>
    </row>
    <row r="148" ht="15.75" customHeight="1">
      <c r="B148" s="37"/>
      <c r="C148" s="6"/>
      <c r="D148" s="37"/>
      <c r="E148" s="37"/>
      <c r="F148" s="37"/>
      <c r="G148" s="37"/>
      <c r="H148" s="37"/>
    </row>
    <row r="149" ht="15.75" customHeight="1">
      <c r="B149" s="37"/>
      <c r="C149" s="6"/>
      <c r="D149" s="37"/>
      <c r="E149" s="37"/>
      <c r="F149" s="37"/>
      <c r="G149" s="37"/>
      <c r="H149" s="37"/>
    </row>
    <row r="150" ht="15.75" customHeight="1">
      <c r="B150" s="37"/>
      <c r="C150" s="6"/>
      <c r="D150" s="37"/>
      <c r="E150" s="37"/>
      <c r="F150" s="37"/>
      <c r="G150" s="37"/>
      <c r="H150" s="37"/>
    </row>
    <row r="151" ht="15.75" customHeight="1">
      <c r="B151" s="37"/>
      <c r="C151" s="6"/>
      <c r="D151" s="37"/>
      <c r="E151" s="37"/>
      <c r="F151" s="37"/>
      <c r="G151" s="37"/>
      <c r="H151" s="37"/>
    </row>
    <row r="152" ht="15.75" customHeight="1">
      <c r="B152" s="37"/>
      <c r="C152" s="6"/>
      <c r="D152" s="37"/>
      <c r="E152" s="37"/>
      <c r="F152" s="37"/>
      <c r="G152" s="37"/>
      <c r="H152" s="37"/>
    </row>
    <row r="153" ht="15.75" customHeight="1">
      <c r="B153" s="37"/>
      <c r="C153" s="6"/>
      <c r="D153" s="37"/>
      <c r="E153" s="37"/>
      <c r="F153" s="37"/>
      <c r="G153" s="37"/>
      <c r="H153" s="37"/>
    </row>
    <row r="154" ht="15.75" customHeight="1">
      <c r="B154" s="37"/>
      <c r="C154" s="6"/>
      <c r="D154" s="37"/>
      <c r="E154" s="37"/>
      <c r="F154" s="37"/>
      <c r="G154" s="37"/>
      <c r="H154" s="37"/>
    </row>
    <row r="155" ht="15.75" customHeight="1">
      <c r="B155" s="37"/>
      <c r="C155" s="6"/>
      <c r="D155" s="37"/>
      <c r="E155" s="37"/>
      <c r="F155" s="37"/>
      <c r="G155" s="37"/>
      <c r="H155" s="37"/>
    </row>
    <row r="156" ht="15.75" customHeight="1">
      <c r="B156" s="37"/>
      <c r="C156" s="6"/>
      <c r="D156" s="37"/>
      <c r="E156" s="37"/>
      <c r="F156" s="37"/>
      <c r="G156" s="37"/>
      <c r="H156" s="37"/>
    </row>
    <row r="157" ht="15.75" customHeight="1">
      <c r="B157" s="37"/>
      <c r="C157" s="6"/>
      <c r="D157" s="37"/>
      <c r="E157" s="37"/>
      <c r="F157" s="37"/>
      <c r="G157" s="37"/>
      <c r="H157" s="37"/>
    </row>
    <row r="158" ht="15.75" customHeight="1">
      <c r="B158" s="37"/>
      <c r="C158" s="6"/>
      <c r="D158" s="37"/>
      <c r="E158" s="37"/>
      <c r="F158" s="37"/>
      <c r="G158" s="37"/>
      <c r="H158" s="37"/>
    </row>
    <row r="159" ht="15.75" customHeight="1">
      <c r="B159" s="37"/>
      <c r="C159" s="6"/>
      <c r="D159" s="37"/>
      <c r="E159" s="37"/>
      <c r="F159" s="37"/>
      <c r="G159" s="37"/>
      <c r="H159" s="37"/>
    </row>
    <row r="160" ht="15.75" customHeight="1">
      <c r="B160" s="37"/>
      <c r="C160" s="6"/>
      <c r="D160" s="37"/>
      <c r="E160" s="37"/>
      <c r="F160" s="37"/>
      <c r="G160" s="37"/>
      <c r="H160" s="37"/>
    </row>
    <row r="161" ht="15.75" customHeight="1">
      <c r="B161" s="37"/>
      <c r="C161" s="6"/>
      <c r="D161" s="37"/>
      <c r="E161" s="37"/>
      <c r="F161" s="37"/>
      <c r="G161" s="37"/>
      <c r="H161" s="37"/>
    </row>
    <row r="162" ht="15.75" customHeight="1">
      <c r="B162" s="37"/>
      <c r="C162" s="6"/>
      <c r="D162" s="37"/>
      <c r="E162" s="37"/>
      <c r="F162" s="37"/>
      <c r="G162" s="37"/>
      <c r="H162" s="37"/>
    </row>
    <row r="163" ht="15.75" customHeight="1">
      <c r="B163" s="37"/>
      <c r="C163" s="6"/>
      <c r="D163" s="37"/>
      <c r="E163" s="37"/>
      <c r="F163" s="37"/>
      <c r="G163" s="37"/>
      <c r="H163" s="37"/>
    </row>
    <row r="164" ht="15.75" customHeight="1">
      <c r="B164" s="37"/>
      <c r="C164" s="6"/>
      <c r="D164" s="37"/>
      <c r="E164" s="37"/>
      <c r="F164" s="37"/>
      <c r="G164" s="37"/>
      <c r="H164" s="37"/>
    </row>
    <row r="165" ht="15.75" customHeight="1">
      <c r="B165" s="37"/>
      <c r="C165" s="6"/>
      <c r="D165" s="37"/>
      <c r="E165" s="37"/>
      <c r="F165" s="37"/>
      <c r="G165" s="37"/>
      <c r="H165" s="37"/>
    </row>
    <row r="166" ht="15.75" customHeight="1">
      <c r="B166" s="37"/>
      <c r="C166" s="6"/>
      <c r="D166" s="37"/>
      <c r="E166" s="37"/>
      <c r="F166" s="37"/>
      <c r="G166" s="37"/>
      <c r="H166" s="37"/>
    </row>
    <row r="167" ht="15.75" customHeight="1">
      <c r="B167" s="37"/>
      <c r="C167" s="6"/>
      <c r="D167" s="37"/>
      <c r="E167" s="37"/>
      <c r="F167" s="37"/>
      <c r="G167" s="37"/>
      <c r="H167" s="37"/>
    </row>
    <row r="168" ht="15.75" customHeight="1">
      <c r="B168" s="37"/>
      <c r="C168" s="6"/>
      <c r="D168" s="37"/>
      <c r="E168" s="37"/>
      <c r="F168" s="37"/>
      <c r="G168" s="37"/>
      <c r="H168" s="37"/>
    </row>
    <row r="169" ht="15.75" customHeight="1">
      <c r="B169" s="37"/>
      <c r="C169" s="6"/>
      <c r="D169" s="37"/>
      <c r="E169" s="37"/>
      <c r="F169" s="37"/>
      <c r="G169" s="37"/>
      <c r="H169" s="37"/>
    </row>
    <row r="170" ht="15.75" customHeight="1">
      <c r="B170" s="37"/>
      <c r="C170" s="6"/>
      <c r="D170" s="37"/>
      <c r="E170" s="37"/>
      <c r="F170" s="37"/>
      <c r="G170" s="37"/>
      <c r="H170" s="37"/>
    </row>
    <row r="171" ht="15.75" customHeight="1">
      <c r="B171" s="37"/>
      <c r="C171" s="6"/>
      <c r="D171" s="37"/>
      <c r="E171" s="37"/>
      <c r="F171" s="37"/>
      <c r="G171" s="37"/>
      <c r="H171" s="37"/>
    </row>
    <row r="172" ht="15.75" customHeight="1">
      <c r="B172" s="37"/>
      <c r="C172" s="6"/>
      <c r="D172" s="37"/>
      <c r="E172" s="37"/>
      <c r="F172" s="37"/>
      <c r="G172" s="37"/>
      <c r="H172" s="37"/>
    </row>
    <row r="173" ht="15.75" customHeight="1">
      <c r="B173" s="37"/>
      <c r="C173" s="6"/>
      <c r="D173" s="37"/>
      <c r="E173" s="37"/>
      <c r="F173" s="37"/>
      <c r="G173" s="37"/>
      <c r="H173" s="37"/>
    </row>
    <row r="174" ht="15.75" customHeight="1">
      <c r="B174" s="37"/>
      <c r="C174" s="6"/>
      <c r="D174" s="37"/>
      <c r="E174" s="37"/>
      <c r="F174" s="37"/>
      <c r="G174" s="37"/>
      <c r="H174" s="37"/>
    </row>
    <row r="175" ht="15.75" customHeight="1">
      <c r="B175" s="37"/>
      <c r="C175" s="6"/>
      <c r="D175" s="37"/>
      <c r="E175" s="37"/>
      <c r="F175" s="37"/>
      <c r="G175" s="37"/>
      <c r="H175" s="37"/>
    </row>
    <row r="176" ht="15.75" customHeight="1">
      <c r="B176" s="37"/>
      <c r="C176" s="6"/>
      <c r="D176" s="37"/>
      <c r="E176" s="37"/>
      <c r="F176" s="37"/>
      <c r="G176" s="37"/>
      <c r="H176" s="37"/>
    </row>
    <row r="177" ht="15.75" customHeight="1">
      <c r="B177" s="37"/>
      <c r="C177" s="6"/>
      <c r="D177" s="37"/>
      <c r="E177" s="37"/>
      <c r="F177" s="37"/>
      <c r="G177" s="37"/>
      <c r="H177" s="37"/>
    </row>
    <row r="178" ht="15.75" customHeight="1">
      <c r="B178" s="37"/>
      <c r="C178" s="6"/>
      <c r="D178" s="37"/>
      <c r="E178" s="37"/>
      <c r="F178" s="37"/>
      <c r="G178" s="37"/>
      <c r="H178" s="37"/>
    </row>
    <row r="179" ht="15.75" customHeight="1">
      <c r="B179" s="37"/>
      <c r="C179" s="6"/>
      <c r="D179" s="37"/>
      <c r="E179" s="37"/>
      <c r="F179" s="37"/>
      <c r="G179" s="37"/>
      <c r="H179" s="37"/>
    </row>
    <row r="180" ht="15.75" customHeight="1">
      <c r="B180" s="37"/>
      <c r="C180" s="6"/>
      <c r="D180" s="37"/>
      <c r="E180" s="37"/>
      <c r="F180" s="37"/>
      <c r="G180" s="37"/>
      <c r="H180" s="37"/>
    </row>
    <row r="181" ht="15.75" customHeight="1">
      <c r="B181" s="37"/>
      <c r="C181" s="6"/>
      <c r="D181" s="37"/>
      <c r="E181" s="37"/>
      <c r="F181" s="37"/>
      <c r="G181" s="37"/>
      <c r="H181" s="37"/>
    </row>
    <row r="182" ht="15.75" customHeight="1">
      <c r="B182" s="37"/>
      <c r="C182" s="6"/>
      <c r="D182" s="37"/>
      <c r="E182" s="37"/>
      <c r="F182" s="37"/>
      <c r="G182" s="37"/>
      <c r="H182" s="37"/>
    </row>
    <row r="183" ht="15.75" customHeight="1">
      <c r="B183" s="37"/>
      <c r="C183" s="6"/>
      <c r="D183" s="37"/>
      <c r="E183" s="37"/>
      <c r="F183" s="37"/>
      <c r="G183" s="37"/>
      <c r="H183" s="37"/>
    </row>
    <row r="184" ht="15.75" customHeight="1">
      <c r="B184" s="37"/>
      <c r="C184" s="6"/>
      <c r="D184" s="37"/>
      <c r="E184" s="37"/>
      <c r="F184" s="37"/>
      <c r="G184" s="37"/>
      <c r="H184" s="37"/>
    </row>
    <row r="185" ht="15.75" customHeight="1">
      <c r="B185" s="37"/>
      <c r="C185" s="6"/>
      <c r="D185" s="37"/>
      <c r="E185" s="37"/>
      <c r="F185" s="37"/>
      <c r="G185" s="37"/>
      <c r="H185" s="37"/>
    </row>
    <row r="186" ht="15.75" customHeight="1">
      <c r="B186" s="37"/>
      <c r="C186" s="6"/>
      <c r="D186" s="37"/>
      <c r="E186" s="37"/>
      <c r="F186" s="37"/>
      <c r="G186" s="37"/>
      <c r="H186" s="37"/>
    </row>
    <row r="187" ht="15.75" customHeight="1">
      <c r="B187" s="37"/>
      <c r="C187" s="6"/>
      <c r="D187" s="37"/>
      <c r="E187" s="37"/>
      <c r="F187" s="37"/>
      <c r="G187" s="37"/>
      <c r="H187" s="37"/>
    </row>
    <row r="188" ht="15.75" customHeight="1">
      <c r="B188" s="37"/>
      <c r="C188" s="6"/>
      <c r="D188" s="37"/>
      <c r="E188" s="37"/>
      <c r="F188" s="37"/>
      <c r="G188" s="37"/>
      <c r="H188" s="37"/>
    </row>
    <row r="189" ht="15.75" customHeight="1">
      <c r="B189" s="37"/>
      <c r="C189" s="6"/>
      <c r="D189" s="37"/>
      <c r="E189" s="37"/>
      <c r="F189" s="37"/>
      <c r="G189" s="37"/>
      <c r="H189" s="37"/>
    </row>
    <row r="190" ht="15.75" customHeight="1">
      <c r="B190" s="37"/>
      <c r="C190" s="6"/>
      <c r="D190" s="37"/>
      <c r="E190" s="37"/>
      <c r="F190" s="37"/>
      <c r="G190" s="37"/>
      <c r="H190" s="37"/>
    </row>
    <row r="191" ht="15.75" customHeight="1">
      <c r="B191" s="37"/>
      <c r="C191" s="6"/>
      <c r="D191" s="37"/>
      <c r="E191" s="37"/>
      <c r="F191" s="37"/>
      <c r="G191" s="37"/>
      <c r="H191" s="37"/>
    </row>
    <row r="192" ht="15.75" customHeight="1">
      <c r="B192" s="37"/>
      <c r="C192" s="6"/>
      <c r="D192" s="37"/>
      <c r="E192" s="37"/>
      <c r="F192" s="37"/>
      <c r="G192" s="37"/>
      <c r="H192" s="37"/>
    </row>
    <row r="193" ht="15.75" customHeight="1">
      <c r="B193" s="37"/>
      <c r="C193" s="6"/>
      <c r="D193" s="37"/>
      <c r="E193" s="37"/>
      <c r="F193" s="37"/>
      <c r="G193" s="37"/>
      <c r="H193" s="37"/>
    </row>
    <row r="194" ht="15.75" customHeight="1">
      <c r="B194" s="37"/>
      <c r="C194" s="6"/>
      <c r="D194" s="37"/>
      <c r="E194" s="37"/>
      <c r="F194" s="37"/>
      <c r="G194" s="37"/>
      <c r="H194" s="37"/>
    </row>
    <row r="195" ht="15.75" customHeight="1">
      <c r="B195" s="37"/>
      <c r="C195" s="6"/>
      <c r="D195" s="37"/>
      <c r="E195" s="37"/>
      <c r="F195" s="37"/>
      <c r="G195" s="37"/>
      <c r="H195" s="37"/>
    </row>
    <row r="196" ht="15.75" customHeight="1">
      <c r="B196" s="37"/>
      <c r="C196" s="6"/>
      <c r="D196" s="37"/>
      <c r="E196" s="37"/>
      <c r="F196" s="37"/>
      <c r="G196" s="37"/>
      <c r="H196" s="37"/>
    </row>
    <row r="197" ht="15.75" customHeight="1">
      <c r="B197" s="37"/>
      <c r="C197" s="6"/>
      <c r="D197" s="37"/>
      <c r="E197" s="37"/>
      <c r="F197" s="37"/>
      <c r="G197" s="37"/>
      <c r="H197" s="37"/>
    </row>
    <row r="198" ht="15.75" customHeight="1">
      <c r="B198" s="37"/>
      <c r="C198" s="6"/>
      <c r="D198" s="37"/>
      <c r="E198" s="37"/>
      <c r="F198" s="37"/>
      <c r="G198" s="37"/>
      <c r="H198" s="37"/>
    </row>
    <row r="199" ht="15.75" customHeight="1">
      <c r="B199" s="37"/>
      <c r="C199" s="6"/>
      <c r="D199" s="37"/>
      <c r="E199" s="37"/>
      <c r="F199" s="37"/>
      <c r="G199" s="37"/>
      <c r="H199" s="37"/>
    </row>
    <row r="200" ht="15.75" customHeight="1">
      <c r="B200" s="37"/>
      <c r="C200" s="6"/>
      <c r="D200" s="37"/>
      <c r="E200" s="37"/>
      <c r="F200" s="37"/>
      <c r="G200" s="37"/>
      <c r="H200" s="37"/>
    </row>
    <row r="201" ht="15.75" customHeight="1">
      <c r="B201" s="37"/>
      <c r="C201" s="6"/>
      <c r="D201" s="37"/>
      <c r="E201" s="37"/>
      <c r="F201" s="37"/>
      <c r="G201" s="37"/>
      <c r="H201" s="37"/>
    </row>
    <row r="202" ht="15.75" customHeight="1">
      <c r="B202" s="37"/>
      <c r="C202" s="6"/>
      <c r="D202" s="37"/>
      <c r="E202" s="37"/>
      <c r="F202" s="37"/>
      <c r="G202" s="37"/>
      <c r="H202" s="37"/>
    </row>
    <row r="203" ht="15.75" customHeight="1">
      <c r="B203" s="37"/>
      <c r="C203" s="6"/>
      <c r="D203" s="37"/>
      <c r="E203" s="37"/>
      <c r="F203" s="37"/>
      <c r="G203" s="37"/>
      <c r="H203" s="37"/>
    </row>
    <row r="204" ht="15.75" customHeight="1">
      <c r="B204" s="37"/>
      <c r="C204" s="6"/>
      <c r="D204" s="37"/>
      <c r="E204" s="37"/>
      <c r="F204" s="37"/>
      <c r="G204" s="37"/>
      <c r="H204" s="37"/>
    </row>
    <row r="205" ht="15.75" customHeight="1">
      <c r="B205" s="37"/>
      <c r="C205" s="6"/>
      <c r="D205" s="37"/>
      <c r="E205" s="37"/>
      <c r="F205" s="37"/>
      <c r="G205" s="37"/>
      <c r="H205" s="37"/>
    </row>
    <row r="206" ht="15.75" customHeight="1">
      <c r="B206" s="37"/>
      <c r="C206" s="6"/>
      <c r="D206" s="37"/>
      <c r="E206" s="37"/>
      <c r="F206" s="37"/>
      <c r="G206" s="37"/>
      <c r="H206" s="37"/>
    </row>
    <row r="207" ht="15.75" customHeight="1">
      <c r="B207" s="37"/>
      <c r="C207" s="6"/>
      <c r="D207" s="37"/>
      <c r="E207" s="37"/>
      <c r="F207" s="37"/>
      <c r="G207" s="37"/>
      <c r="H207" s="37"/>
    </row>
    <row r="208" ht="15.75" customHeight="1">
      <c r="B208" s="37"/>
      <c r="C208" s="6"/>
      <c r="D208" s="37"/>
      <c r="E208" s="37"/>
      <c r="F208" s="37"/>
      <c r="G208" s="37"/>
      <c r="H208" s="37"/>
    </row>
    <row r="209" ht="15.75" customHeight="1">
      <c r="B209" s="37"/>
      <c r="C209" s="6"/>
      <c r="D209" s="37"/>
      <c r="E209" s="37"/>
      <c r="F209" s="37"/>
      <c r="G209" s="37"/>
      <c r="H209" s="37"/>
    </row>
    <row r="210" ht="15.75" customHeight="1">
      <c r="B210" s="37"/>
      <c r="C210" s="6"/>
      <c r="D210" s="37"/>
      <c r="E210" s="37"/>
      <c r="F210" s="37"/>
      <c r="G210" s="37"/>
      <c r="H210" s="37"/>
    </row>
    <row r="211" ht="15.75" customHeight="1">
      <c r="B211" s="37"/>
      <c r="C211" s="6"/>
      <c r="D211" s="37"/>
      <c r="E211" s="37"/>
      <c r="F211" s="37"/>
      <c r="G211" s="37"/>
      <c r="H211" s="37"/>
    </row>
    <row r="212" ht="15.75" customHeight="1">
      <c r="B212" s="37"/>
      <c r="C212" s="6"/>
      <c r="D212" s="37"/>
      <c r="E212" s="37"/>
      <c r="F212" s="37"/>
      <c r="G212" s="37"/>
      <c r="H212" s="37"/>
    </row>
    <row r="213" ht="15.75" customHeight="1">
      <c r="B213" s="37"/>
      <c r="C213" s="6"/>
      <c r="D213" s="37"/>
      <c r="E213" s="37"/>
      <c r="F213" s="37"/>
      <c r="G213" s="37"/>
      <c r="H213" s="37"/>
    </row>
    <row r="214" ht="15.75" customHeight="1">
      <c r="B214" s="37"/>
      <c r="C214" s="6"/>
      <c r="D214" s="37"/>
      <c r="E214" s="37"/>
      <c r="F214" s="37"/>
      <c r="G214" s="37"/>
      <c r="H214" s="37"/>
    </row>
    <row r="215" ht="15.75" customHeight="1">
      <c r="B215" s="37"/>
      <c r="C215" s="6"/>
      <c r="D215" s="37"/>
      <c r="E215" s="37"/>
      <c r="F215" s="37"/>
      <c r="G215" s="37"/>
      <c r="H215" s="37"/>
    </row>
    <row r="216" ht="15.75" customHeight="1">
      <c r="B216" s="37"/>
      <c r="C216" s="6"/>
      <c r="D216" s="37"/>
      <c r="E216" s="37"/>
      <c r="F216" s="37"/>
      <c r="G216" s="37"/>
      <c r="H216" s="37"/>
    </row>
    <row r="217" ht="15.75" customHeight="1">
      <c r="B217" s="37"/>
      <c r="C217" s="6"/>
      <c r="D217" s="37"/>
      <c r="E217" s="37"/>
      <c r="F217" s="37"/>
      <c r="G217" s="37"/>
      <c r="H217" s="37"/>
    </row>
    <row r="218" ht="15.75" customHeight="1">
      <c r="B218" s="37"/>
      <c r="C218" s="6"/>
      <c r="D218" s="37"/>
      <c r="E218" s="37"/>
      <c r="F218" s="37"/>
      <c r="G218" s="37"/>
      <c r="H218" s="37"/>
    </row>
    <row r="219" ht="15.75" customHeight="1">
      <c r="B219" s="37"/>
      <c r="C219" s="6"/>
      <c r="D219" s="37"/>
      <c r="E219" s="37"/>
      <c r="F219" s="37"/>
      <c r="G219" s="37"/>
      <c r="H219" s="37"/>
    </row>
    <row r="220" ht="15.75" customHeight="1">
      <c r="B220" s="37"/>
      <c r="C220" s="6"/>
      <c r="D220" s="37"/>
      <c r="E220" s="37"/>
      <c r="F220" s="37"/>
      <c r="G220" s="37"/>
      <c r="H220" s="37"/>
    </row>
    <row r="221" ht="15.75" customHeight="1">
      <c r="B221" s="37"/>
      <c r="C221" s="6"/>
      <c r="D221" s="37"/>
      <c r="E221" s="37"/>
      <c r="F221" s="37"/>
      <c r="G221" s="37"/>
      <c r="H221" s="37"/>
    </row>
    <row r="222" ht="15.75" customHeight="1">
      <c r="B222" s="37"/>
      <c r="C222" s="6"/>
      <c r="D222" s="37"/>
      <c r="E222" s="37"/>
      <c r="F222" s="37"/>
      <c r="G222" s="37"/>
      <c r="H222" s="37"/>
    </row>
    <row r="223" ht="15.75" customHeight="1">
      <c r="B223" s="37"/>
      <c r="C223" s="6"/>
      <c r="D223" s="37"/>
      <c r="E223" s="37"/>
      <c r="F223" s="37"/>
      <c r="G223" s="37"/>
      <c r="H223" s="37"/>
    </row>
    <row r="224" ht="15.75" customHeight="1">
      <c r="B224" s="37"/>
      <c r="C224" s="6"/>
      <c r="D224" s="37"/>
      <c r="E224" s="37"/>
      <c r="F224" s="37"/>
      <c r="G224" s="37"/>
      <c r="H224" s="37"/>
    </row>
    <row r="225" ht="15.75" customHeight="1">
      <c r="B225" s="37"/>
      <c r="C225" s="6"/>
      <c r="D225" s="37"/>
      <c r="E225" s="37"/>
      <c r="F225" s="37"/>
      <c r="G225" s="37"/>
      <c r="H225" s="37"/>
    </row>
    <row r="226" ht="15.75" customHeight="1">
      <c r="B226" s="37"/>
      <c r="C226" s="6"/>
      <c r="D226" s="37"/>
      <c r="E226" s="37"/>
      <c r="F226" s="37"/>
      <c r="G226" s="37"/>
      <c r="H226" s="37"/>
    </row>
    <row r="227" ht="15.75" customHeight="1">
      <c r="B227" s="37"/>
      <c r="C227" s="6"/>
      <c r="D227" s="37"/>
      <c r="E227" s="37"/>
      <c r="F227" s="37"/>
      <c r="G227" s="37"/>
      <c r="H227" s="37"/>
    </row>
    <row r="228" ht="15.75" customHeight="1">
      <c r="B228" s="37"/>
      <c r="C228" s="6"/>
      <c r="D228" s="37"/>
      <c r="E228" s="37"/>
      <c r="F228" s="37"/>
      <c r="G228" s="37"/>
      <c r="H228" s="37"/>
    </row>
    <row r="229" ht="15.75" customHeight="1">
      <c r="B229" s="37"/>
      <c r="C229" s="6"/>
      <c r="D229" s="37"/>
      <c r="E229" s="37"/>
      <c r="F229" s="37"/>
      <c r="G229" s="37"/>
      <c r="H229" s="37"/>
    </row>
    <row r="230" ht="15.75" customHeight="1">
      <c r="B230" s="37"/>
      <c r="C230" s="6"/>
      <c r="D230" s="37"/>
      <c r="E230" s="37"/>
      <c r="F230" s="37"/>
      <c r="G230" s="37"/>
      <c r="H230" s="37"/>
    </row>
    <row r="231" ht="15.75" customHeight="1">
      <c r="B231" s="37"/>
      <c r="C231" s="6"/>
      <c r="D231" s="37"/>
      <c r="E231" s="37"/>
      <c r="F231" s="37"/>
      <c r="G231" s="37"/>
      <c r="H231" s="37"/>
    </row>
    <row r="232" ht="15.75" customHeight="1">
      <c r="B232" s="37"/>
      <c r="C232" s="6"/>
      <c r="D232" s="37"/>
      <c r="E232" s="37"/>
      <c r="F232" s="37"/>
      <c r="G232" s="37"/>
      <c r="H232" s="37"/>
    </row>
    <row r="233" ht="15.75" customHeight="1">
      <c r="B233" s="37"/>
      <c r="C233" s="6"/>
      <c r="D233" s="37"/>
      <c r="E233" s="37"/>
      <c r="F233" s="37"/>
      <c r="G233" s="37"/>
      <c r="H233" s="37"/>
    </row>
    <row r="234" ht="15.75" customHeight="1">
      <c r="B234" s="37"/>
      <c r="C234" s="6"/>
      <c r="D234" s="37"/>
      <c r="E234" s="37"/>
      <c r="F234" s="37"/>
      <c r="G234" s="37"/>
      <c r="H234" s="37"/>
    </row>
    <row r="235" ht="15.75" customHeight="1">
      <c r="B235" s="37"/>
      <c r="C235" s="6"/>
      <c r="D235" s="37"/>
      <c r="E235" s="37"/>
      <c r="F235" s="37"/>
      <c r="G235" s="37"/>
      <c r="H235" s="37"/>
    </row>
    <row r="236" ht="15.75" customHeight="1">
      <c r="B236" s="37"/>
      <c r="C236" s="6"/>
      <c r="D236" s="37"/>
      <c r="E236" s="37"/>
      <c r="F236" s="37"/>
      <c r="G236" s="37"/>
      <c r="H236" s="37"/>
    </row>
    <row r="237" ht="15.75" customHeight="1">
      <c r="B237" s="37"/>
      <c r="C237" s="6"/>
      <c r="D237" s="37"/>
      <c r="E237" s="37"/>
      <c r="F237" s="37"/>
      <c r="G237" s="37"/>
      <c r="H237" s="37"/>
    </row>
    <row r="238" ht="15.75" customHeight="1">
      <c r="B238" s="37"/>
      <c r="C238" s="6"/>
      <c r="D238" s="37"/>
      <c r="E238" s="37"/>
      <c r="F238" s="37"/>
      <c r="G238" s="37"/>
      <c r="H238" s="37"/>
    </row>
    <row r="239" ht="15.75" customHeight="1">
      <c r="B239" s="37"/>
      <c r="C239" s="6"/>
      <c r="D239" s="37"/>
      <c r="E239" s="37"/>
      <c r="F239" s="37"/>
      <c r="G239" s="37"/>
      <c r="H239" s="37"/>
    </row>
    <row r="240" ht="15.75" customHeight="1">
      <c r="B240" s="37"/>
      <c r="C240" s="6"/>
      <c r="D240" s="37"/>
      <c r="E240" s="37"/>
      <c r="F240" s="37"/>
      <c r="G240" s="37"/>
      <c r="H240" s="37"/>
    </row>
    <row r="241" ht="15.75" customHeight="1">
      <c r="B241" s="37"/>
      <c r="C241" s="6"/>
      <c r="D241" s="37"/>
      <c r="E241" s="37"/>
      <c r="F241" s="37"/>
      <c r="G241" s="37"/>
      <c r="H241" s="37"/>
    </row>
    <row r="242" ht="15.75" customHeight="1">
      <c r="B242" s="37"/>
      <c r="C242" s="6"/>
      <c r="D242" s="37"/>
      <c r="E242" s="37"/>
      <c r="F242" s="37"/>
      <c r="G242" s="37"/>
      <c r="H242" s="37"/>
    </row>
    <row r="243" ht="15.75" customHeight="1">
      <c r="B243" s="37"/>
      <c r="C243" s="6"/>
      <c r="D243" s="37"/>
      <c r="E243" s="37"/>
      <c r="F243" s="37"/>
      <c r="G243" s="37"/>
      <c r="H243" s="37"/>
    </row>
    <row r="244" ht="15.75" customHeight="1">
      <c r="B244" s="37"/>
      <c r="C244" s="6"/>
      <c r="D244" s="37"/>
      <c r="E244" s="37"/>
      <c r="F244" s="37"/>
      <c r="G244" s="37"/>
      <c r="H244" s="37"/>
    </row>
    <row r="245" ht="15.75" customHeight="1">
      <c r="B245" s="37"/>
      <c r="C245" s="6"/>
      <c r="D245" s="37"/>
      <c r="E245" s="37"/>
      <c r="F245" s="37"/>
      <c r="G245" s="37"/>
      <c r="H245" s="37"/>
    </row>
    <row r="246" ht="15.75" customHeight="1">
      <c r="B246" s="37"/>
      <c r="C246" s="6"/>
      <c r="D246" s="37"/>
      <c r="E246" s="37"/>
      <c r="F246" s="37"/>
      <c r="G246" s="37"/>
      <c r="H246" s="37"/>
    </row>
    <row r="247" ht="15.75" customHeight="1">
      <c r="B247" s="37"/>
      <c r="C247" s="6"/>
      <c r="D247" s="37"/>
      <c r="E247" s="37"/>
      <c r="F247" s="37"/>
      <c r="G247" s="37"/>
      <c r="H247" s="37"/>
    </row>
    <row r="248" ht="15.75" customHeight="1">
      <c r="B248" s="37"/>
      <c r="C248" s="6"/>
      <c r="D248" s="37"/>
      <c r="E248" s="37"/>
      <c r="F248" s="37"/>
      <c r="G248" s="37"/>
      <c r="H248" s="37"/>
    </row>
    <row r="249" ht="15.75" customHeight="1">
      <c r="B249" s="37"/>
      <c r="C249" s="6"/>
      <c r="D249" s="37"/>
      <c r="E249" s="37"/>
      <c r="F249" s="37"/>
      <c r="G249" s="37"/>
      <c r="H249" s="37"/>
    </row>
    <row r="250" ht="15.75" customHeight="1">
      <c r="B250" s="37"/>
      <c r="C250" s="6"/>
      <c r="D250" s="37"/>
      <c r="E250" s="37"/>
      <c r="F250" s="37"/>
      <c r="G250" s="37"/>
      <c r="H250" s="37"/>
    </row>
    <row r="251" ht="15.75" customHeight="1">
      <c r="B251" s="37"/>
      <c r="C251" s="6"/>
      <c r="D251" s="37"/>
      <c r="E251" s="37"/>
      <c r="F251" s="37"/>
      <c r="G251" s="37"/>
      <c r="H251" s="37"/>
    </row>
    <row r="252" ht="15.75" customHeight="1">
      <c r="B252" s="37"/>
      <c r="C252" s="6"/>
      <c r="D252" s="37"/>
      <c r="E252" s="37"/>
      <c r="F252" s="37"/>
      <c r="G252" s="37"/>
      <c r="H252" s="37"/>
    </row>
    <row r="253" ht="15.75" customHeight="1">
      <c r="B253" s="37"/>
      <c r="C253" s="6"/>
      <c r="D253" s="37"/>
      <c r="E253" s="37"/>
      <c r="F253" s="37"/>
      <c r="G253" s="37"/>
      <c r="H253" s="37"/>
    </row>
    <row r="254" ht="15.75" customHeight="1">
      <c r="B254" s="37"/>
      <c r="C254" s="6"/>
      <c r="D254" s="37"/>
      <c r="E254" s="37"/>
      <c r="F254" s="37"/>
      <c r="G254" s="37"/>
      <c r="H254" s="37"/>
    </row>
    <row r="255" ht="15.75" customHeight="1">
      <c r="B255" s="37"/>
      <c r="C255" s="6"/>
      <c r="D255" s="37"/>
      <c r="E255" s="37"/>
      <c r="F255" s="37"/>
      <c r="G255" s="37"/>
      <c r="H255" s="37"/>
    </row>
    <row r="256" ht="15.75" customHeight="1">
      <c r="B256" s="37"/>
      <c r="C256" s="6"/>
      <c r="D256" s="37"/>
      <c r="E256" s="37"/>
      <c r="F256" s="37"/>
      <c r="G256" s="37"/>
      <c r="H256" s="37"/>
    </row>
    <row r="257" ht="15.75" customHeight="1">
      <c r="B257" s="37"/>
      <c r="C257" s="6"/>
      <c r="D257" s="37"/>
      <c r="E257" s="37"/>
      <c r="F257" s="37"/>
      <c r="G257" s="37"/>
      <c r="H257" s="37"/>
    </row>
    <row r="258" ht="15.75" customHeight="1">
      <c r="B258" s="37"/>
      <c r="C258" s="6"/>
      <c r="D258" s="37"/>
      <c r="E258" s="37"/>
      <c r="F258" s="37"/>
      <c r="G258" s="37"/>
      <c r="H258" s="37"/>
    </row>
    <row r="259" ht="15.75" customHeight="1">
      <c r="B259" s="37"/>
      <c r="C259" s="6"/>
      <c r="D259" s="37"/>
      <c r="E259" s="37"/>
      <c r="F259" s="37"/>
      <c r="G259" s="37"/>
      <c r="H259" s="37"/>
    </row>
    <row r="260" ht="15.75" customHeight="1">
      <c r="B260" s="37"/>
      <c r="C260" s="6"/>
      <c r="D260" s="37"/>
      <c r="E260" s="37"/>
      <c r="F260" s="37"/>
      <c r="G260" s="37"/>
      <c r="H260" s="37"/>
    </row>
    <row r="261" ht="15.75" customHeight="1">
      <c r="B261" s="37"/>
      <c r="C261" s="6"/>
      <c r="D261" s="37"/>
      <c r="E261" s="37"/>
      <c r="F261" s="37"/>
      <c r="G261" s="37"/>
      <c r="H261" s="37"/>
    </row>
    <row r="262" ht="15.75" customHeight="1">
      <c r="B262" s="37"/>
      <c r="C262" s="6"/>
      <c r="D262" s="37"/>
      <c r="E262" s="37"/>
      <c r="F262" s="37"/>
      <c r="G262" s="37"/>
      <c r="H262" s="37"/>
    </row>
    <row r="263" ht="15.75" customHeight="1">
      <c r="B263" s="37"/>
      <c r="C263" s="6"/>
      <c r="D263" s="37"/>
      <c r="E263" s="37"/>
      <c r="F263" s="37"/>
      <c r="G263" s="37"/>
      <c r="H263" s="37"/>
    </row>
    <row r="264" ht="15.75" customHeight="1">
      <c r="B264" s="37"/>
      <c r="C264" s="6"/>
      <c r="D264" s="37"/>
      <c r="E264" s="37"/>
      <c r="F264" s="37"/>
      <c r="G264" s="37"/>
      <c r="H264" s="37"/>
    </row>
    <row r="265" ht="15.75" customHeight="1">
      <c r="B265" s="37"/>
      <c r="C265" s="6"/>
      <c r="D265" s="37"/>
      <c r="E265" s="37"/>
      <c r="F265" s="37"/>
      <c r="G265" s="37"/>
      <c r="H265" s="37"/>
    </row>
    <row r="266" ht="15.75" customHeight="1">
      <c r="B266" s="37"/>
      <c r="C266" s="6"/>
      <c r="D266" s="37"/>
      <c r="E266" s="37"/>
      <c r="F266" s="37"/>
      <c r="G266" s="37"/>
      <c r="H266" s="37"/>
    </row>
    <row r="267" ht="15.75" customHeight="1">
      <c r="B267" s="37"/>
      <c r="C267" s="6"/>
      <c r="D267" s="37"/>
      <c r="E267" s="37"/>
      <c r="F267" s="37"/>
      <c r="G267" s="37"/>
      <c r="H267" s="37"/>
    </row>
    <row r="268" ht="15.75" customHeight="1">
      <c r="B268" s="37"/>
      <c r="C268" s="6"/>
      <c r="D268" s="37"/>
      <c r="E268" s="37"/>
      <c r="F268" s="37"/>
      <c r="G268" s="37"/>
      <c r="H268" s="37"/>
    </row>
    <row r="269" ht="15.75" customHeight="1">
      <c r="B269" s="37"/>
      <c r="C269" s="6"/>
      <c r="D269" s="37"/>
      <c r="E269" s="37"/>
      <c r="F269" s="37"/>
      <c r="G269" s="37"/>
      <c r="H269" s="37"/>
    </row>
    <row r="270" ht="15.75" customHeight="1">
      <c r="B270" s="37"/>
      <c r="C270" s="6"/>
      <c r="D270" s="37"/>
      <c r="E270" s="37"/>
      <c r="F270" s="37"/>
      <c r="G270" s="37"/>
      <c r="H270" s="37"/>
    </row>
    <row r="271" ht="15.75" customHeight="1">
      <c r="B271" s="37"/>
      <c r="C271" s="6"/>
      <c r="D271" s="37"/>
      <c r="E271" s="37"/>
      <c r="F271" s="37"/>
      <c r="G271" s="37"/>
      <c r="H271" s="37"/>
    </row>
    <row r="272" ht="15.75" customHeight="1">
      <c r="B272" s="37"/>
      <c r="C272" s="6"/>
      <c r="D272" s="37"/>
      <c r="E272" s="37"/>
      <c r="F272" s="37"/>
      <c r="G272" s="37"/>
      <c r="H272" s="37"/>
    </row>
    <row r="273" ht="15.75" customHeight="1">
      <c r="B273" s="37"/>
      <c r="C273" s="6"/>
      <c r="D273" s="37"/>
      <c r="E273" s="37"/>
      <c r="F273" s="37"/>
      <c r="G273" s="37"/>
      <c r="H273" s="37"/>
    </row>
    <row r="274" ht="15.75" customHeight="1">
      <c r="B274" s="37"/>
      <c r="C274" s="6"/>
      <c r="D274" s="37"/>
      <c r="E274" s="37"/>
      <c r="F274" s="37"/>
      <c r="G274" s="37"/>
      <c r="H274" s="37"/>
    </row>
    <row r="275" ht="15.75" customHeight="1">
      <c r="B275" s="37"/>
      <c r="C275" s="6"/>
      <c r="D275" s="37"/>
      <c r="E275" s="37"/>
      <c r="F275" s="37"/>
      <c r="G275" s="37"/>
      <c r="H275" s="37"/>
    </row>
    <row r="276" ht="15.75" customHeight="1">
      <c r="B276" s="37"/>
      <c r="C276" s="6"/>
      <c r="D276" s="37"/>
      <c r="E276" s="37"/>
      <c r="F276" s="37"/>
      <c r="G276" s="37"/>
      <c r="H276" s="37"/>
    </row>
    <row r="277" ht="15.75" customHeight="1">
      <c r="B277" s="37"/>
      <c r="C277" s="6"/>
      <c r="D277" s="37"/>
      <c r="E277" s="37"/>
      <c r="F277" s="37"/>
      <c r="G277" s="37"/>
      <c r="H277" s="37"/>
    </row>
    <row r="278" ht="15.75" customHeight="1">
      <c r="B278" s="37"/>
      <c r="C278" s="6"/>
      <c r="D278" s="37"/>
      <c r="E278" s="37"/>
      <c r="F278" s="37"/>
      <c r="G278" s="37"/>
      <c r="H278" s="37"/>
    </row>
    <row r="279" ht="15.75" customHeight="1">
      <c r="B279" s="37"/>
      <c r="C279" s="6"/>
      <c r="D279" s="37"/>
      <c r="E279" s="37"/>
      <c r="F279" s="37"/>
      <c r="G279" s="37"/>
      <c r="H279" s="37"/>
    </row>
    <row r="280" ht="15.75" customHeight="1">
      <c r="B280" s="37"/>
      <c r="C280" s="6"/>
      <c r="D280" s="37"/>
      <c r="E280" s="37"/>
      <c r="F280" s="37"/>
      <c r="G280" s="37"/>
      <c r="H280" s="37"/>
    </row>
    <row r="281" ht="15.75" customHeight="1">
      <c r="B281" s="37"/>
      <c r="C281" s="6"/>
      <c r="D281" s="37"/>
      <c r="E281" s="37"/>
      <c r="F281" s="37"/>
      <c r="G281" s="37"/>
      <c r="H281" s="37"/>
    </row>
    <row r="282" ht="15.75" customHeight="1">
      <c r="B282" s="37"/>
      <c r="C282" s="6"/>
      <c r="D282" s="37"/>
      <c r="E282" s="37"/>
      <c r="F282" s="37"/>
      <c r="G282" s="37"/>
      <c r="H282" s="37"/>
    </row>
    <row r="283" ht="15.75" customHeight="1">
      <c r="B283" s="37"/>
      <c r="C283" s="6"/>
      <c r="D283" s="37"/>
      <c r="E283" s="37"/>
      <c r="F283" s="37"/>
      <c r="G283" s="37"/>
      <c r="H283" s="37"/>
    </row>
    <row r="284" ht="15.75" customHeight="1">
      <c r="B284" s="37"/>
      <c r="C284" s="6"/>
      <c r="D284" s="37"/>
      <c r="E284" s="37"/>
      <c r="F284" s="37"/>
      <c r="G284" s="37"/>
      <c r="H284" s="37"/>
    </row>
    <row r="285" ht="15.75" customHeight="1">
      <c r="B285" s="37"/>
      <c r="C285" s="6"/>
      <c r="D285" s="37"/>
      <c r="E285" s="37"/>
      <c r="F285" s="37"/>
      <c r="G285" s="37"/>
      <c r="H285" s="37"/>
    </row>
    <row r="286" ht="15.75" customHeight="1">
      <c r="B286" s="37"/>
      <c r="C286" s="6"/>
      <c r="D286" s="37"/>
      <c r="E286" s="37"/>
      <c r="F286" s="37"/>
      <c r="G286" s="37"/>
      <c r="H286" s="37"/>
    </row>
    <row r="287" ht="15.75" customHeight="1">
      <c r="B287" s="37"/>
      <c r="C287" s="6"/>
      <c r="D287" s="37"/>
      <c r="E287" s="37"/>
      <c r="F287" s="37"/>
      <c r="G287" s="37"/>
      <c r="H287" s="37"/>
    </row>
    <row r="288" ht="15.75" customHeight="1">
      <c r="B288" s="37"/>
      <c r="C288" s="6"/>
      <c r="D288" s="37"/>
      <c r="E288" s="37"/>
      <c r="F288" s="37"/>
      <c r="G288" s="37"/>
      <c r="H288" s="37"/>
    </row>
    <row r="289" ht="15.75" customHeight="1">
      <c r="B289" s="37"/>
      <c r="C289" s="6"/>
      <c r="D289" s="37"/>
      <c r="E289" s="37"/>
      <c r="F289" s="37"/>
      <c r="G289" s="37"/>
      <c r="H289" s="37"/>
    </row>
    <row r="290" ht="15.75" customHeight="1">
      <c r="B290" s="37"/>
      <c r="C290" s="6"/>
      <c r="D290" s="37"/>
      <c r="E290" s="37"/>
      <c r="F290" s="37"/>
      <c r="G290" s="37"/>
      <c r="H290" s="37"/>
    </row>
    <row r="291" ht="15.75" customHeight="1">
      <c r="B291" s="37"/>
      <c r="C291" s="6"/>
      <c r="D291" s="37"/>
      <c r="E291" s="37"/>
      <c r="F291" s="37"/>
      <c r="G291" s="37"/>
      <c r="H291" s="37"/>
    </row>
    <row r="292" ht="15.75" customHeight="1">
      <c r="B292" s="37"/>
      <c r="C292" s="6"/>
      <c r="D292" s="37"/>
      <c r="E292" s="37"/>
      <c r="F292" s="37"/>
      <c r="G292" s="37"/>
      <c r="H292" s="37"/>
    </row>
    <row r="293" ht="15.75" customHeight="1">
      <c r="B293" s="37"/>
      <c r="C293" s="6"/>
      <c r="D293" s="37"/>
      <c r="E293" s="37"/>
      <c r="F293" s="37"/>
      <c r="G293" s="37"/>
      <c r="H293" s="37"/>
    </row>
    <row r="294" ht="15.75" customHeight="1">
      <c r="B294" s="37"/>
      <c r="C294" s="6"/>
      <c r="D294" s="37"/>
      <c r="E294" s="37"/>
      <c r="F294" s="37"/>
      <c r="G294" s="37"/>
      <c r="H294" s="37"/>
    </row>
    <row r="295" ht="15.75" customHeight="1">
      <c r="B295" s="37"/>
      <c r="C295" s="6"/>
      <c r="D295" s="37"/>
      <c r="E295" s="37"/>
      <c r="F295" s="37"/>
      <c r="G295" s="37"/>
      <c r="H295" s="37"/>
    </row>
    <row r="296" ht="15.75" customHeight="1">
      <c r="B296" s="37"/>
      <c r="C296" s="6"/>
      <c r="D296" s="37"/>
      <c r="E296" s="37"/>
      <c r="F296" s="37"/>
      <c r="G296" s="37"/>
      <c r="H296" s="37"/>
    </row>
    <row r="297" ht="15.75" customHeight="1">
      <c r="B297" s="37"/>
      <c r="C297" s="6"/>
      <c r="D297" s="37"/>
      <c r="E297" s="37"/>
      <c r="F297" s="37"/>
      <c r="G297" s="37"/>
      <c r="H297" s="37"/>
    </row>
    <row r="298" ht="15.75" customHeight="1">
      <c r="B298" s="37"/>
      <c r="C298" s="6"/>
      <c r="D298" s="37"/>
      <c r="E298" s="37"/>
      <c r="F298" s="37"/>
      <c r="G298" s="37"/>
      <c r="H298" s="37"/>
    </row>
    <row r="299" ht="15.75" customHeight="1">
      <c r="B299" s="37"/>
      <c r="C299" s="6"/>
      <c r="D299" s="37"/>
      <c r="E299" s="37"/>
      <c r="F299" s="37"/>
      <c r="G299" s="37"/>
      <c r="H299" s="37"/>
    </row>
    <row r="300" ht="15.75" customHeight="1">
      <c r="B300" s="37"/>
      <c r="C300" s="6"/>
      <c r="D300" s="37"/>
      <c r="E300" s="37"/>
      <c r="F300" s="37"/>
      <c r="G300" s="37"/>
      <c r="H300" s="37"/>
    </row>
    <row r="301" ht="15.75" customHeight="1">
      <c r="B301" s="37"/>
      <c r="C301" s="6"/>
      <c r="D301" s="37"/>
      <c r="E301" s="37"/>
      <c r="F301" s="37"/>
      <c r="G301" s="37"/>
      <c r="H301" s="37"/>
    </row>
    <row r="302" ht="15.75" customHeight="1">
      <c r="B302" s="37"/>
      <c r="C302" s="6"/>
      <c r="D302" s="37"/>
      <c r="E302" s="37"/>
      <c r="F302" s="37"/>
      <c r="G302" s="37"/>
      <c r="H302" s="37"/>
    </row>
    <row r="303" ht="15.75" customHeight="1">
      <c r="B303" s="37"/>
      <c r="C303" s="6"/>
      <c r="D303" s="37"/>
      <c r="E303" s="37"/>
      <c r="F303" s="37"/>
      <c r="G303" s="37"/>
      <c r="H303" s="37"/>
    </row>
    <row r="304" ht="15.75" customHeight="1">
      <c r="B304" s="37"/>
      <c r="C304" s="6"/>
      <c r="D304" s="37"/>
      <c r="E304" s="37"/>
      <c r="F304" s="37"/>
      <c r="G304" s="37"/>
      <c r="H304" s="37"/>
    </row>
    <row r="305" ht="15.75" customHeight="1">
      <c r="B305" s="37"/>
      <c r="C305" s="6"/>
      <c r="D305" s="37"/>
      <c r="E305" s="37"/>
      <c r="F305" s="37"/>
      <c r="G305" s="37"/>
      <c r="H305" s="37"/>
    </row>
    <row r="306" ht="15.75" customHeight="1">
      <c r="B306" s="37"/>
      <c r="C306" s="6"/>
      <c r="D306" s="37"/>
      <c r="E306" s="37"/>
      <c r="F306" s="37"/>
      <c r="G306" s="37"/>
      <c r="H306" s="37"/>
    </row>
    <row r="307" ht="15.75" customHeight="1">
      <c r="B307" s="37"/>
      <c r="C307" s="6"/>
      <c r="D307" s="37"/>
      <c r="E307" s="37"/>
      <c r="F307" s="37"/>
      <c r="G307" s="37"/>
      <c r="H307" s="37"/>
    </row>
    <row r="308" ht="15.75" customHeight="1">
      <c r="B308" s="37"/>
      <c r="C308" s="6"/>
      <c r="D308" s="37"/>
      <c r="E308" s="37"/>
      <c r="F308" s="37"/>
      <c r="G308" s="37"/>
      <c r="H308" s="37"/>
    </row>
    <row r="309" ht="15.75" customHeight="1">
      <c r="B309" s="37"/>
      <c r="C309" s="6"/>
      <c r="D309" s="37"/>
      <c r="E309" s="37"/>
      <c r="F309" s="37"/>
      <c r="G309" s="37"/>
      <c r="H309" s="37"/>
    </row>
    <row r="310" ht="15.75" customHeight="1">
      <c r="B310" s="37"/>
      <c r="C310" s="6"/>
      <c r="D310" s="37"/>
      <c r="E310" s="37"/>
      <c r="F310" s="37"/>
      <c r="G310" s="37"/>
      <c r="H310" s="37"/>
    </row>
    <row r="311" ht="15.75" customHeight="1">
      <c r="B311" s="37"/>
      <c r="C311" s="6"/>
      <c r="D311" s="37"/>
      <c r="E311" s="37"/>
      <c r="F311" s="37"/>
      <c r="G311" s="37"/>
      <c r="H311" s="37"/>
    </row>
    <row r="312" ht="15.75" customHeight="1">
      <c r="B312" s="37"/>
      <c r="C312" s="6"/>
      <c r="D312" s="37"/>
      <c r="E312" s="37"/>
      <c r="F312" s="37"/>
      <c r="G312" s="37"/>
      <c r="H312" s="37"/>
    </row>
    <row r="313" ht="15.75" customHeight="1">
      <c r="B313" s="37"/>
      <c r="C313" s="6"/>
      <c r="D313" s="37"/>
      <c r="E313" s="37"/>
      <c r="F313" s="37"/>
      <c r="G313" s="37"/>
      <c r="H313" s="37"/>
    </row>
    <row r="314" ht="15.75" customHeight="1">
      <c r="B314" s="37"/>
      <c r="C314" s="6"/>
      <c r="D314" s="37"/>
      <c r="E314" s="37"/>
      <c r="F314" s="37"/>
      <c r="G314" s="37"/>
      <c r="H314" s="37"/>
    </row>
    <row r="315" ht="15.75" customHeight="1">
      <c r="B315" s="37"/>
      <c r="C315" s="6"/>
      <c r="D315" s="37"/>
      <c r="E315" s="37"/>
      <c r="F315" s="37"/>
      <c r="G315" s="37"/>
      <c r="H315" s="37"/>
    </row>
    <row r="316" ht="15.75" customHeight="1">
      <c r="B316" s="37"/>
      <c r="C316" s="6"/>
      <c r="D316" s="37"/>
      <c r="E316" s="37"/>
      <c r="F316" s="37"/>
      <c r="G316" s="37"/>
      <c r="H316" s="37"/>
    </row>
    <row r="317" ht="15.75" customHeight="1">
      <c r="B317" s="37"/>
      <c r="C317" s="6"/>
      <c r="D317" s="37"/>
      <c r="E317" s="37"/>
      <c r="F317" s="37"/>
      <c r="G317" s="37"/>
      <c r="H317" s="37"/>
    </row>
    <row r="318" ht="15.75" customHeight="1">
      <c r="B318" s="37"/>
      <c r="C318" s="6"/>
      <c r="D318" s="37"/>
      <c r="E318" s="37"/>
      <c r="F318" s="37"/>
      <c r="G318" s="37"/>
      <c r="H318" s="37"/>
    </row>
    <row r="319" ht="15.75" customHeight="1">
      <c r="B319" s="37"/>
      <c r="C319" s="6"/>
      <c r="D319" s="37"/>
      <c r="E319" s="37"/>
      <c r="F319" s="37"/>
      <c r="G319" s="37"/>
      <c r="H319" s="37"/>
    </row>
    <row r="320" ht="15.75" customHeight="1">
      <c r="B320" s="37"/>
      <c r="C320" s="6"/>
      <c r="D320" s="37"/>
      <c r="E320" s="37"/>
      <c r="F320" s="37"/>
      <c r="G320" s="37"/>
      <c r="H320" s="37"/>
    </row>
    <row r="321" ht="15.75" customHeight="1">
      <c r="B321" s="37"/>
      <c r="C321" s="6"/>
      <c r="D321" s="37"/>
      <c r="E321" s="37"/>
      <c r="F321" s="37"/>
      <c r="G321" s="37"/>
      <c r="H321" s="37"/>
    </row>
    <row r="322" ht="15.75" customHeight="1">
      <c r="B322" s="37"/>
      <c r="C322" s="6"/>
      <c r="D322" s="37"/>
      <c r="E322" s="37"/>
      <c r="F322" s="37"/>
      <c r="G322" s="37"/>
      <c r="H322" s="37"/>
    </row>
    <row r="323" ht="15.75" customHeight="1">
      <c r="B323" s="37"/>
      <c r="C323" s="6"/>
      <c r="D323" s="37"/>
      <c r="E323" s="37"/>
      <c r="F323" s="37"/>
      <c r="G323" s="37"/>
      <c r="H323" s="37"/>
    </row>
    <row r="324" ht="15.75" customHeight="1">
      <c r="B324" s="37"/>
      <c r="C324" s="6"/>
      <c r="D324" s="37"/>
      <c r="E324" s="37"/>
      <c r="F324" s="37"/>
      <c r="G324" s="37"/>
      <c r="H324" s="37"/>
    </row>
    <row r="325" ht="15.75" customHeight="1">
      <c r="B325" s="37"/>
      <c r="C325" s="6"/>
      <c r="D325" s="37"/>
      <c r="E325" s="37"/>
      <c r="F325" s="37"/>
      <c r="G325" s="37"/>
      <c r="H325" s="37"/>
    </row>
    <row r="326" ht="15.75" customHeight="1">
      <c r="B326" s="37"/>
      <c r="C326" s="6"/>
      <c r="D326" s="37"/>
      <c r="E326" s="37"/>
      <c r="F326" s="37"/>
      <c r="G326" s="37"/>
      <c r="H326" s="37"/>
    </row>
    <row r="327" ht="15.75" customHeight="1">
      <c r="B327" s="37"/>
      <c r="C327" s="6"/>
      <c r="D327" s="37"/>
      <c r="E327" s="37"/>
      <c r="F327" s="37"/>
      <c r="G327" s="37"/>
      <c r="H327" s="37"/>
    </row>
    <row r="328" ht="15.75" customHeight="1">
      <c r="B328" s="37"/>
      <c r="C328" s="6"/>
      <c r="D328" s="37"/>
      <c r="E328" s="37"/>
      <c r="F328" s="37"/>
      <c r="G328" s="37"/>
      <c r="H328" s="37"/>
    </row>
    <row r="329" ht="15.75" customHeight="1">
      <c r="B329" s="37"/>
      <c r="C329" s="6"/>
      <c r="D329" s="37"/>
      <c r="E329" s="37"/>
      <c r="F329" s="37"/>
      <c r="G329" s="37"/>
      <c r="H329" s="37"/>
    </row>
    <row r="330" ht="15.75" customHeight="1">
      <c r="B330" s="37"/>
      <c r="C330" s="6"/>
      <c r="D330" s="37"/>
      <c r="E330" s="37"/>
      <c r="F330" s="37"/>
      <c r="G330" s="37"/>
      <c r="H330" s="37"/>
    </row>
    <row r="331" ht="15.75" customHeight="1">
      <c r="B331" s="37"/>
      <c r="C331" s="6"/>
      <c r="D331" s="37"/>
      <c r="E331" s="37"/>
      <c r="F331" s="37"/>
      <c r="G331" s="37"/>
      <c r="H331" s="37"/>
    </row>
    <row r="332" ht="15.75" customHeight="1">
      <c r="B332" s="37"/>
      <c r="C332" s="6"/>
      <c r="D332" s="37"/>
      <c r="E332" s="37"/>
      <c r="F332" s="37"/>
      <c r="G332" s="37"/>
      <c r="H332" s="37"/>
    </row>
    <row r="333" ht="15.75" customHeight="1">
      <c r="B333" s="37"/>
      <c r="C333" s="6"/>
      <c r="D333" s="37"/>
      <c r="E333" s="37"/>
      <c r="F333" s="37"/>
      <c r="G333" s="37"/>
      <c r="H333" s="37"/>
    </row>
    <row r="334" ht="15.75" customHeight="1">
      <c r="B334" s="37"/>
      <c r="C334" s="6"/>
      <c r="D334" s="37"/>
      <c r="E334" s="37"/>
      <c r="F334" s="37"/>
      <c r="G334" s="37"/>
      <c r="H334" s="37"/>
    </row>
    <row r="335" ht="15.75" customHeight="1">
      <c r="B335" s="37"/>
      <c r="C335" s="6"/>
      <c r="D335" s="37"/>
      <c r="E335" s="37"/>
      <c r="F335" s="37"/>
      <c r="G335" s="37"/>
      <c r="H335" s="37"/>
    </row>
    <row r="336" ht="15.75" customHeight="1">
      <c r="B336" s="37"/>
      <c r="C336" s="6"/>
      <c r="D336" s="37"/>
      <c r="E336" s="37"/>
      <c r="F336" s="37"/>
      <c r="G336" s="37"/>
      <c r="H336" s="37"/>
    </row>
    <row r="337" ht="15.75" customHeight="1">
      <c r="B337" s="37"/>
      <c r="C337" s="6"/>
      <c r="D337" s="37"/>
      <c r="E337" s="37"/>
      <c r="F337" s="37"/>
      <c r="G337" s="37"/>
      <c r="H337" s="37"/>
    </row>
    <row r="338" ht="15.75" customHeight="1">
      <c r="B338" s="37"/>
      <c r="C338" s="6"/>
      <c r="D338" s="37"/>
      <c r="E338" s="37"/>
      <c r="F338" s="37"/>
      <c r="G338" s="37"/>
      <c r="H338" s="37"/>
    </row>
    <row r="339" ht="15.75" customHeight="1">
      <c r="B339" s="37"/>
      <c r="C339" s="6"/>
      <c r="D339" s="37"/>
      <c r="E339" s="37"/>
      <c r="F339" s="37"/>
      <c r="G339" s="37"/>
      <c r="H339" s="37"/>
    </row>
    <row r="340" ht="15.75" customHeight="1">
      <c r="B340" s="37"/>
      <c r="C340" s="6"/>
      <c r="D340" s="37"/>
      <c r="E340" s="37"/>
      <c r="F340" s="37"/>
      <c r="G340" s="37"/>
      <c r="H340" s="37"/>
    </row>
    <row r="341" ht="15.75" customHeight="1">
      <c r="B341" s="37"/>
      <c r="C341" s="6"/>
      <c r="D341" s="37"/>
      <c r="E341" s="37"/>
      <c r="F341" s="37"/>
      <c r="G341" s="37"/>
      <c r="H341" s="37"/>
    </row>
    <row r="342" ht="15.75" customHeight="1">
      <c r="B342" s="37"/>
      <c r="C342" s="6"/>
      <c r="D342" s="37"/>
      <c r="E342" s="37"/>
      <c r="F342" s="37"/>
      <c r="G342" s="37"/>
      <c r="H342" s="37"/>
    </row>
    <row r="343" ht="15.75" customHeight="1">
      <c r="B343" s="37"/>
      <c r="C343" s="6"/>
      <c r="D343" s="37"/>
      <c r="E343" s="37"/>
      <c r="F343" s="37"/>
      <c r="G343" s="37"/>
      <c r="H343" s="37"/>
    </row>
    <row r="344" ht="15.75" customHeight="1">
      <c r="B344" s="37"/>
      <c r="C344" s="6"/>
      <c r="D344" s="37"/>
      <c r="E344" s="37"/>
      <c r="F344" s="37"/>
      <c r="G344" s="37"/>
      <c r="H344" s="37"/>
    </row>
    <row r="345" ht="15.75" customHeight="1">
      <c r="B345" s="37"/>
      <c r="C345" s="6"/>
      <c r="D345" s="37"/>
      <c r="E345" s="37"/>
      <c r="F345" s="37"/>
      <c r="G345" s="37"/>
      <c r="H345" s="37"/>
    </row>
    <row r="346" ht="15.75" customHeight="1">
      <c r="B346" s="37"/>
      <c r="C346" s="6"/>
      <c r="D346" s="37"/>
      <c r="E346" s="37"/>
      <c r="F346" s="37"/>
      <c r="G346" s="37"/>
      <c r="H346" s="37"/>
    </row>
    <row r="347" ht="15.75" customHeight="1">
      <c r="B347" s="37"/>
      <c r="C347" s="6"/>
      <c r="D347" s="37"/>
      <c r="E347" s="37"/>
      <c r="F347" s="37"/>
      <c r="G347" s="37"/>
      <c r="H347" s="37"/>
    </row>
    <row r="348" ht="15.75" customHeight="1">
      <c r="B348" s="37"/>
      <c r="C348" s="6"/>
      <c r="D348" s="37"/>
      <c r="E348" s="37"/>
      <c r="F348" s="37"/>
      <c r="G348" s="37"/>
      <c r="H348" s="37"/>
    </row>
    <row r="349" ht="15.75" customHeight="1">
      <c r="B349" s="37"/>
      <c r="C349" s="6"/>
      <c r="D349" s="37"/>
      <c r="E349" s="37"/>
      <c r="F349" s="37"/>
      <c r="G349" s="37"/>
      <c r="H349" s="37"/>
    </row>
    <row r="350" ht="15.75" customHeight="1">
      <c r="B350" s="37"/>
      <c r="C350" s="6"/>
      <c r="D350" s="37"/>
      <c r="E350" s="37"/>
      <c r="F350" s="37"/>
      <c r="G350" s="37"/>
      <c r="H350" s="37"/>
    </row>
    <row r="351" ht="15.75" customHeight="1">
      <c r="B351" s="37"/>
      <c r="C351" s="6"/>
      <c r="D351" s="37"/>
      <c r="E351" s="37"/>
      <c r="F351" s="37"/>
      <c r="G351" s="37"/>
      <c r="H351" s="37"/>
    </row>
    <row r="352" ht="15.75" customHeight="1">
      <c r="B352" s="37"/>
      <c r="C352" s="6"/>
      <c r="D352" s="37"/>
      <c r="E352" s="37"/>
      <c r="F352" s="37"/>
      <c r="G352" s="37"/>
      <c r="H352" s="37"/>
    </row>
    <row r="353" ht="15.75" customHeight="1">
      <c r="B353" s="37"/>
      <c r="C353" s="6"/>
      <c r="D353" s="37"/>
      <c r="E353" s="37"/>
      <c r="F353" s="37"/>
      <c r="G353" s="37"/>
      <c r="H353" s="37"/>
    </row>
    <row r="354" ht="15.75" customHeight="1">
      <c r="B354" s="37"/>
      <c r="C354" s="6"/>
      <c r="D354" s="37"/>
      <c r="E354" s="37"/>
      <c r="F354" s="37"/>
      <c r="G354" s="37"/>
      <c r="H354" s="37"/>
    </row>
    <row r="355" ht="15.75" customHeight="1">
      <c r="B355" s="37"/>
      <c r="C355" s="6"/>
      <c r="D355" s="37"/>
      <c r="E355" s="37"/>
      <c r="F355" s="37"/>
      <c r="G355" s="37"/>
      <c r="H355" s="37"/>
    </row>
    <row r="356" ht="15.75" customHeight="1">
      <c r="B356" s="37"/>
      <c r="C356" s="6"/>
      <c r="D356" s="37"/>
      <c r="E356" s="37"/>
      <c r="F356" s="37"/>
      <c r="G356" s="37"/>
      <c r="H356" s="37"/>
    </row>
    <row r="357" ht="15.75" customHeight="1">
      <c r="B357" s="37"/>
      <c r="C357" s="6"/>
      <c r="D357" s="37"/>
      <c r="E357" s="37"/>
      <c r="F357" s="37"/>
      <c r="G357" s="37"/>
      <c r="H357" s="37"/>
    </row>
    <row r="358" ht="15.75" customHeight="1">
      <c r="B358" s="37"/>
      <c r="C358" s="6"/>
      <c r="D358" s="37"/>
      <c r="E358" s="37"/>
      <c r="F358" s="37"/>
      <c r="G358" s="37"/>
      <c r="H358" s="37"/>
    </row>
    <row r="359" ht="15.75" customHeight="1">
      <c r="B359" s="37"/>
      <c r="C359" s="6"/>
      <c r="D359" s="37"/>
      <c r="E359" s="37"/>
      <c r="F359" s="37"/>
      <c r="G359" s="37"/>
      <c r="H359" s="37"/>
    </row>
    <row r="360" ht="15.75" customHeight="1">
      <c r="B360" s="37"/>
      <c r="C360" s="6"/>
      <c r="D360" s="37"/>
      <c r="E360" s="37"/>
      <c r="F360" s="37"/>
      <c r="G360" s="37"/>
      <c r="H360" s="37"/>
    </row>
    <row r="361" ht="15.75" customHeight="1">
      <c r="B361" s="37"/>
      <c r="C361" s="6"/>
      <c r="D361" s="37"/>
      <c r="E361" s="37"/>
      <c r="F361" s="37"/>
      <c r="G361" s="37"/>
      <c r="H361" s="37"/>
    </row>
    <row r="362" ht="15.75" customHeight="1">
      <c r="B362" s="37"/>
      <c r="C362" s="6"/>
      <c r="D362" s="37"/>
      <c r="E362" s="37"/>
      <c r="F362" s="37"/>
      <c r="G362" s="37"/>
      <c r="H362" s="37"/>
    </row>
    <row r="363" ht="15.75" customHeight="1">
      <c r="B363" s="37"/>
      <c r="C363" s="6"/>
      <c r="D363" s="37"/>
      <c r="E363" s="37"/>
      <c r="F363" s="37"/>
      <c r="G363" s="37"/>
      <c r="H363" s="37"/>
    </row>
    <row r="364" ht="15.75" customHeight="1">
      <c r="B364" s="37"/>
      <c r="C364" s="6"/>
      <c r="D364" s="37"/>
      <c r="E364" s="37"/>
      <c r="F364" s="37"/>
      <c r="G364" s="37"/>
      <c r="H364" s="37"/>
    </row>
    <row r="365" ht="15.75" customHeight="1">
      <c r="B365" s="37"/>
      <c r="C365" s="6"/>
      <c r="D365" s="37"/>
      <c r="E365" s="37"/>
      <c r="F365" s="37"/>
      <c r="G365" s="37"/>
      <c r="H365" s="37"/>
    </row>
    <row r="366" ht="15.75" customHeight="1">
      <c r="B366" s="37"/>
      <c r="C366" s="6"/>
      <c r="D366" s="37"/>
      <c r="E366" s="37"/>
      <c r="F366" s="37"/>
      <c r="G366" s="37"/>
      <c r="H366" s="37"/>
    </row>
    <row r="367" ht="15.75" customHeight="1">
      <c r="B367" s="37"/>
      <c r="C367" s="6"/>
      <c r="D367" s="37"/>
      <c r="E367" s="37"/>
      <c r="F367" s="37"/>
      <c r="G367" s="37"/>
      <c r="H367" s="37"/>
    </row>
    <row r="368" ht="15.75" customHeight="1">
      <c r="B368" s="37"/>
      <c r="C368" s="6"/>
      <c r="D368" s="37"/>
      <c r="E368" s="37"/>
      <c r="F368" s="37"/>
      <c r="G368" s="37"/>
      <c r="H368" s="37"/>
    </row>
    <row r="369" ht="15.75" customHeight="1">
      <c r="B369" s="37"/>
      <c r="C369" s="6"/>
      <c r="D369" s="37"/>
      <c r="E369" s="37"/>
      <c r="F369" s="37"/>
      <c r="G369" s="37"/>
      <c r="H369" s="37"/>
    </row>
    <row r="370" ht="15.75" customHeight="1">
      <c r="B370" s="37"/>
      <c r="C370" s="6"/>
      <c r="D370" s="37"/>
      <c r="E370" s="37"/>
      <c r="F370" s="37"/>
      <c r="G370" s="37"/>
      <c r="H370" s="37"/>
    </row>
    <row r="371" ht="15.75" customHeight="1">
      <c r="B371" s="37"/>
      <c r="C371" s="6"/>
      <c r="D371" s="37"/>
      <c r="E371" s="37"/>
      <c r="F371" s="37"/>
      <c r="G371" s="37"/>
      <c r="H371" s="37"/>
    </row>
    <row r="372" ht="15.75" customHeight="1">
      <c r="B372" s="37"/>
      <c r="C372" s="6"/>
      <c r="D372" s="37"/>
      <c r="E372" s="37"/>
      <c r="F372" s="37"/>
      <c r="G372" s="37"/>
      <c r="H372" s="37"/>
    </row>
    <row r="373" ht="15.75" customHeight="1">
      <c r="B373" s="37"/>
      <c r="C373" s="6"/>
      <c r="D373" s="37"/>
      <c r="E373" s="37"/>
      <c r="F373" s="37"/>
      <c r="G373" s="37"/>
      <c r="H373" s="37"/>
    </row>
    <row r="374" ht="15.75" customHeight="1">
      <c r="B374" s="37"/>
      <c r="C374" s="6"/>
      <c r="D374" s="37"/>
      <c r="E374" s="37"/>
      <c r="F374" s="37"/>
      <c r="G374" s="37"/>
      <c r="H374" s="37"/>
    </row>
    <row r="375" ht="15.75" customHeight="1">
      <c r="B375" s="37"/>
      <c r="C375" s="6"/>
      <c r="D375" s="37"/>
      <c r="E375" s="37"/>
      <c r="F375" s="37"/>
      <c r="G375" s="37"/>
      <c r="H375" s="37"/>
    </row>
    <row r="376" ht="15.75" customHeight="1">
      <c r="B376" s="37"/>
      <c r="C376" s="6"/>
      <c r="D376" s="37"/>
      <c r="E376" s="37"/>
      <c r="F376" s="37"/>
      <c r="G376" s="37"/>
      <c r="H376" s="37"/>
    </row>
    <row r="377" ht="15.75" customHeight="1">
      <c r="B377" s="37"/>
      <c r="C377" s="6"/>
      <c r="D377" s="37"/>
      <c r="E377" s="37"/>
      <c r="F377" s="37"/>
      <c r="G377" s="37"/>
      <c r="H377" s="37"/>
    </row>
    <row r="378" ht="15.75" customHeight="1">
      <c r="B378" s="37"/>
      <c r="C378" s="6"/>
      <c r="D378" s="37"/>
      <c r="E378" s="37"/>
      <c r="F378" s="37"/>
      <c r="G378" s="37"/>
      <c r="H378" s="37"/>
    </row>
    <row r="379" ht="15.75" customHeight="1">
      <c r="B379" s="37"/>
      <c r="C379" s="6"/>
      <c r="D379" s="37"/>
      <c r="E379" s="37"/>
      <c r="F379" s="37"/>
      <c r="G379" s="37"/>
      <c r="H379" s="37"/>
    </row>
    <row r="380" ht="15.75" customHeight="1">
      <c r="B380" s="37"/>
      <c r="C380" s="6"/>
      <c r="D380" s="37"/>
      <c r="E380" s="37"/>
      <c r="F380" s="37"/>
      <c r="G380" s="37"/>
      <c r="H380" s="37"/>
    </row>
    <row r="381" ht="15.75" customHeight="1">
      <c r="B381" s="37"/>
      <c r="C381" s="6"/>
      <c r="D381" s="37"/>
      <c r="E381" s="37"/>
      <c r="F381" s="37"/>
      <c r="G381" s="37"/>
      <c r="H381" s="37"/>
    </row>
    <row r="382" ht="15.75" customHeight="1">
      <c r="B382" s="37"/>
      <c r="C382" s="6"/>
      <c r="D382" s="37"/>
      <c r="E382" s="37"/>
      <c r="F382" s="37"/>
      <c r="G382" s="37"/>
      <c r="H382" s="37"/>
    </row>
    <row r="383" ht="15.75" customHeight="1">
      <c r="B383" s="37"/>
      <c r="C383" s="6"/>
      <c r="D383" s="37"/>
      <c r="E383" s="37"/>
      <c r="F383" s="37"/>
      <c r="G383" s="37"/>
      <c r="H383" s="37"/>
    </row>
    <row r="384" ht="15.75" customHeight="1">
      <c r="B384" s="37"/>
      <c r="C384" s="6"/>
      <c r="D384" s="37"/>
      <c r="E384" s="37"/>
      <c r="F384" s="37"/>
      <c r="G384" s="37"/>
      <c r="H384" s="37"/>
    </row>
    <row r="385" ht="15.75" customHeight="1">
      <c r="B385" s="37"/>
      <c r="C385" s="6"/>
      <c r="D385" s="37"/>
      <c r="E385" s="37"/>
      <c r="F385" s="37"/>
      <c r="G385" s="37"/>
      <c r="H385" s="37"/>
    </row>
    <row r="386" ht="15.75" customHeight="1">
      <c r="B386" s="37"/>
      <c r="C386" s="6"/>
      <c r="D386" s="37"/>
      <c r="E386" s="37"/>
      <c r="F386" s="37"/>
      <c r="G386" s="37"/>
      <c r="H386" s="37"/>
    </row>
    <row r="387" ht="15.75" customHeight="1">
      <c r="B387" s="37"/>
      <c r="C387" s="6"/>
      <c r="D387" s="37"/>
      <c r="E387" s="37"/>
      <c r="F387" s="37"/>
      <c r="G387" s="37"/>
      <c r="H387" s="37"/>
    </row>
    <row r="388" ht="15.75" customHeight="1">
      <c r="B388" s="37"/>
      <c r="C388" s="6"/>
      <c r="D388" s="37"/>
      <c r="E388" s="37"/>
      <c r="F388" s="37"/>
      <c r="G388" s="37"/>
      <c r="H388" s="37"/>
    </row>
    <row r="389" ht="15.75" customHeight="1">
      <c r="B389" s="37"/>
      <c r="C389" s="6"/>
      <c r="D389" s="37"/>
      <c r="E389" s="37"/>
      <c r="F389" s="37"/>
      <c r="G389" s="37"/>
      <c r="H389" s="37"/>
    </row>
    <row r="390" ht="15.75" customHeight="1">
      <c r="B390" s="37"/>
      <c r="C390" s="6"/>
      <c r="D390" s="37"/>
      <c r="E390" s="37"/>
      <c r="F390" s="37"/>
      <c r="G390" s="37"/>
      <c r="H390" s="37"/>
    </row>
    <row r="391" ht="15.75" customHeight="1">
      <c r="B391" s="37"/>
      <c r="C391" s="6"/>
      <c r="D391" s="37"/>
      <c r="E391" s="37"/>
      <c r="F391" s="37"/>
      <c r="G391" s="37"/>
      <c r="H391" s="37"/>
    </row>
    <row r="392" ht="15.75" customHeight="1">
      <c r="B392" s="37"/>
      <c r="C392" s="6"/>
      <c r="D392" s="37"/>
      <c r="E392" s="37"/>
      <c r="F392" s="37"/>
      <c r="G392" s="37"/>
      <c r="H392" s="37"/>
    </row>
    <row r="393" ht="15.75" customHeight="1">
      <c r="B393" s="37"/>
      <c r="C393" s="6"/>
      <c r="D393" s="37"/>
      <c r="E393" s="37"/>
      <c r="F393" s="37"/>
      <c r="G393" s="37"/>
      <c r="H393" s="37"/>
    </row>
    <row r="394" ht="15.75" customHeight="1">
      <c r="B394" s="37"/>
      <c r="C394" s="6"/>
      <c r="D394" s="37"/>
      <c r="E394" s="37"/>
      <c r="F394" s="37"/>
      <c r="G394" s="37"/>
      <c r="H394" s="37"/>
    </row>
    <row r="395" ht="15.75" customHeight="1">
      <c r="B395" s="37"/>
      <c r="C395" s="6"/>
      <c r="D395" s="37"/>
      <c r="E395" s="37"/>
      <c r="F395" s="37"/>
      <c r="G395" s="37"/>
      <c r="H395" s="37"/>
    </row>
    <row r="396" ht="15.75" customHeight="1">
      <c r="B396" s="37"/>
      <c r="C396" s="6"/>
      <c r="D396" s="37"/>
      <c r="E396" s="37"/>
      <c r="F396" s="37"/>
      <c r="G396" s="37"/>
      <c r="H396" s="37"/>
    </row>
    <row r="397" ht="15.75" customHeight="1">
      <c r="B397" s="37"/>
      <c r="C397" s="6"/>
      <c r="D397" s="37"/>
      <c r="E397" s="37"/>
      <c r="F397" s="37"/>
      <c r="G397" s="37"/>
      <c r="H397" s="37"/>
    </row>
    <row r="398" ht="15.75" customHeight="1">
      <c r="B398" s="37"/>
      <c r="C398" s="6"/>
      <c r="D398" s="37"/>
      <c r="E398" s="37"/>
      <c r="F398" s="37"/>
      <c r="G398" s="37"/>
      <c r="H398" s="37"/>
    </row>
    <row r="399" ht="15.75" customHeight="1">
      <c r="B399" s="37"/>
      <c r="C399" s="6"/>
      <c r="D399" s="37"/>
      <c r="E399" s="37"/>
      <c r="F399" s="37"/>
      <c r="G399" s="37"/>
      <c r="H399" s="37"/>
    </row>
    <row r="400" ht="15.75" customHeight="1">
      <c r="B400" s="37"/>
      <c r="C400" s="6"/>
      <c r="D400" s="37"/>
      <c r="E400" s="37"/>
      <c r="F400" s="37"/>
      <c r="G400" s="37"/>
      <c r="H400" s="37"/>
    </row>
    <row r="401" ht="15.75" customHeight="1">
      <c r="B401" s="37"/>
      <c r="C401" s="6"/>
      <c r="D401" s="37"/>
      <c r="E401" s="37"/>
      <c r="F401" s="37"/>
      <c r="G401" s="37"/>
      <c r="H401" s="37"/>
    </row>
    <row r="402" ht="15.75" customHeight="1">
      <c r="B402" s="37"/>
      <c r="C402" s="6"/>
      <c r="D402" s="37"/>
      <c r="E402" s="37"/>
      <c r="F402" s="37"/>
      <c r="G402" s="37"/>
      <c r="H402" s="37"/>
    </row>
    <row r="403" ht="15.75" customHeight="1">
      <c r="B403" s="37"/>
      <c r="C403" s="6"/>
      <c r="D403" s="37"/>
      <c r="E403" s="37"/>
      <c r="F403" s="37"/>
      <c r="G403" s="37"/>
      <c r="H403" s="37"/>
    </row>
    <row r="404" ht="15.75" customHeight="1">
      <c r="B404" s="37"/>
      <c r="C404" s="6"/>
      <c r="D404" s="37"/>
      <c r="E404" s="37"/>
      <c r="F404" s="37"/>
      <c r="G404" s="37"/>
      <c r="H404" s="37"/>
    </row>
    <row r="405" ht="15.75" customHeight="1">
      <c r="B405" s="37"/>
      <c r="C405" s="6"/>
      <c r="D405" s="37"/>
      <c r="E405" s="37"/>
      <c r="F405" s="37"/>
      <c r="G405" s="37"/>
      <c r="H405" s="37"/>
    </row>
    <row r="406" ht="15.75" customHeight="1">
      <c r="B406" s="37"/>
      <c r="C406" s="6"/>
      <c r="D406" s="37"/>
      <c r="E406" s="37"/>
      <c r="F406" s="37"/>
      <c r="G406" s="37"/>
      <c r="H406" s="37"/>
    </row>
    <row r="407" ht="15.75" customHeight="1">
      <c r="B407" s="37"/>
      <c r="C407" s="6"/>
      <c r="D407" s="37"/>
      <c r="E407" s="37"/>
      <c r="F407" s="37"/>
      <c r="G407" s="37"/>
      <c r="H407" s="37"/>
    </row>
    <row r="408" ht="15.75" customHeight="1">
      <c r="B408" s="37"/>
      <c r="C408" s="6"/>
      <c r="D408" s="37"/>
      <c r="E408" s="37"/>
      <c r="F408" s="37"/>
      <c r="G408" s="37"/>
      <c r="H408" s="37"/>
    </row>
    <row r="409" ht="15.75" customHeight="1">
      <c r="B409" s="37"/>
      <c r="C409" s="6"/>
      <c r="D409" s="37"/>
      <c r="E409" s="37"/>
      <c r="F409" s="37"/>
      <c r="G409" s="37"/>
      <c r="H409" s="37"/>
    </row>
    <row r="410" ht="15.75" customHeight="1">
      <c r="B410" s="37"/>
      <c r="C410" s="6"/>
      <c r="D410" s="37"/>
      <c r="E410" s="37"/>
      <c r="F410" s="37"/>
      <c r="G410" s="37"/>
      <c r="H410" s="37"/>
    </row>
    <row r="411" ht="15.75" customHeight="1">
      <c r="B411" s="37"/>
      <c r="C411" s="6"/>
      <c r="D411" s="37"/>
      <c r="E411" s="37"/>
      <c r="F411" s="37"/>
      <c r="G411" s="37"/>
      <c r="H411" s="37"/>
    </row>
    <row r="412" ht="15.75" customHeight="1">
      <c r="B412" s="37"/>
      <c r="C412" s="6"/>
      <c r="D412" s="37"/>
      <c r="E412" s="37"/>
      <c r="F412" s="37"/>
      <c r="G412" s="37"/>
      <c r="H412" s="37"/>
    </row>
    <row r="413" ht="15.75" customHeight="1">
      <c r="B413" s="37"/>
      <c r="C413" s="6"/>
      <c r="D413" s="37"/>
      <c r="E413" s="37"/>
      <c r="F413" s="37"/>
      <c r="G413" s="37"/>
      <c r="H413" s="37"/>
    </row>
    <row r="414" ht="15.75" customHeight="1">
      <c r="B414" s="37"/>
      <c r="C414" s="6"/>
      <c r="D414" s="37"/>
      <c r="E414" s="37"/>
      <c r="F414" s="37"/>
      <c r="G414" s="37"/>
      <c r="H414" s="37"/>
    </row>
    <row r="415" ht="15.75" customHeight="1">
      <c r="B415" s="37"/>
      <c r="C415" s="6"/>
      <c r="D415" s="37"/>
      <c r="E415" s="37"/>
      <c r="F415" s="37"/>
      <c r="G415" s="37"/>
      <c r="H415" s="37"/>
    </row>
    <row r="416" ht="15.75" customHeight="1">
      <c r="B416" s="37"/>
      <c r="C416" s="6"/>
      <c r="D416" s="37"/>
      <c r="E416" s="37"/>
      <c r="F416" s="37"/>
      <c r="G416" s="37"/>
      <c r="H416" s="37"/>
    </row>
    <row r="417" ht="15.75" customHeight="1">
      <c r="B417" s="37"/>
      <c r="C417" s="6"/>
      <c r="D417" s="37"/>
      <c r="E417" s="37"/>
      <c r="F417" s="37"/>
      <c r="G417" s="37"/>
      <c r="H417" s="37"/>
    </row>
    <row r="418" ht="15.75" customHeight="1">
      <c r="B418" s="37"/>
      <c r="C418" s="6"/>
      <c r="D418" s="37"/>
      <c r="E418" s="37"/>
      <c r="F418" s="37"/>
      <c r="G418" s="37"/>
      <c r="H418" s="37"/>
    </row>
    <row r="419" ht="15.75" customHeight="1">
      <c r="B419" s="37"/>
      <c r="C419" s="6"/>
      <c r="D419" s="37"/>
      <c r="E419" s="37"/>
      <c r="F419" s="37"/>
      <c r="G419" s="37"/>
      <c r="H419" s="37"/>
    </row>
    <row r="420" ht="15.75" customHeight="1">
      <c r="B420" s="37"/>
      <c r="C420" s="6"/>
      <c r="D420" s="37"/>
      <c r="E420" s="37"/>
      <c r="F420" s="37"/>
      <c r="G420" s="37"/>
      <c r="H420" s="37"/>
    </row>
    <row r="421" ht="15.75" customHeight="1">
      <c r="B421" s="37"/>
      <c r="C421" s="6"/>
      <c r="D421" s="37"/>
      <c r="E421" s="37"/>
      <c r="F421" s="37"/>
      <c r="G421" s="37"/>
      <c r="H421" s="37"/>
    </row>
    <row r="422" ht="15.75" customHeight="1">
      <c r="B422" s="37"/>
      <c r="C422" s="6"/>
      <c r="D422" s="37"/>
      <c r="E422" s="37"/>
      <c r="F422" s="37"/>
      <c r="G422" s="37"/>
      <c r="H422" s="37"/>
    </row>
    <row r="423" ht="15.75" customHeight="1">
      <c r="B423" s="37"/>
      <c r="C423" s="6"/>
      <c r="D423" s="37"/>
      <c r="E423" s="37"/>
      <c r="F423" s="37"/>
      <c r="G423" s="37"/>
      <c r="H423" s="37"/>
    </row>
    <row r="424" ht="15.75" customHeight="1">
      <c r="B424" s="37"/>
      <c r="C424" s="6"/>
      <c r="D424" s="37"/>
      <c r="E424" s="37"/>
      <c r="F424" s="37"/>
      <c r="G424" s="37"/>
      <c r="H424" s="37"/>
    </row>
    <row r="425" ht="15.75" customHeight="1">
      <c r="B425" s="37"/>
      <c r="C425" s="6"/>
      <c r="D425" s="37"/>
      <c r="E425" s="37"/>
      <c r="F425" s="37"/>
      <c r="G425" s="37"/>
      <c r="H425" s="37"/>
    </row>
    <row r="426" ht="15.75" customHeight="1">
      <c r="B426" s="37"/>
      <c r="C426" s="6"/>
      <c r="D426" s="37"/>
      <c r="E426" s="37"/>
      <c r="F426" s="37"/>
      <c r="G426" s="37"/>
      <c r="H426" s="37"/>
    </row>
    <row r="427" ht="15.75" customHeight="1">
      <c r="B427" s="37"/>
      <c r="C427" s="6"/>
      <c r="D427" s="37"/>
      <c r="E427" s="37"/>
      <c r="F427" s="37"/>
      <c r="G427" s="37"/>
      <c r="H427" s="37"/>
    </row>
    <row r="428" ht="15.75" customHeight="1">
      <c r="B428" s="37"/>
      <c r="C428" s="6"/>
      <c r="D428" s="37"/>
      <c r="E428" s="37"/>
      <c r="F428" s="37"/>
      <c r="G428" s="37"/>
      <c r="H428" s="37"/>
    </row>
    <row r="429" ht="15.75" customHeight="1">
      <c r="B429" s="37"/>
      <c r="C429" s="6"/>
      <c r="D429" s="37"/>
      <c r="E429" s="37"/>
      <c r="F429" s="37"/>
      <c r="G429" s="37"/>
      <c r="H429" s="37"/>
    </row>
    <row r="430" ht="15.75" customHeight="1">
      <c r="B430" s="37"/>
      <c r="C430" s="6"/>
      <c r="D430" s="37"/>
      <c r="E430" s="37"/>
      <c r="F430" s="37"/>
      <c r="G430" s="37"/>
      <c r="H430" s="37"/>
    </row>
    <row r="431" ht="15.75" customHeight="1">
      <c r="B431" s="37"/>
      <c r="C431" s="6"/>
      <c r="D431" s="37"/>
      <c r="E431" s="37"/>
      <c r="F431" s="37"/>
      <c r="G431" s="37"/>
      <c r="H431" s="37"/>
    </row>
    <row r="432" ht="15.75" customHeight="1">
      <c r="B432" s="37"/>
      <c r="C432" s="6"/>
      <c r="D432" s="37"/>
      <c r="E432" s="37"/>
      <c r="F432" s="37"/>
      <c r="G432" s="37"/>
      <c r="H432" s="37"/>
    </row>
    <row r="433" ht="15.75" customHeight="1">
      <c r="B433" s="37"/>
      <c r="C433" s="6"/>
      <c r="D433" s="37"/>
      <c r="E433" s="37"/>
      <c r="F433" s="37"/>
      <c r="G433" s="37"/>
      <c r="H433" s="37"/>
    </row>
    <row r="434" ht="15.75" customHeight="1">
      <c r="B434" s="37"/>
      <c r="C434" s="6"/>
      <c r="D434" s="37"/>
      <c r="E434" s="37"/>
      <c r="F434" s="37"/>
      <c r="G434" s="37"/>
      <c r="H434" s="37"/>
    </row>
    <row r="435" ht="15.75" customHeight="1">
      <c r="B435" s="37"/>
      <c r="C435" s="6"/>
      <c r="D435" s="37"/>
      <c r="E435" s="37"/>
      <c r="F435" s="37"/>
      <c r="G435" s="37"/>
      <c r="H435" s="37"/>
    </row>
    <row r="436" ht="15.75" customHeight="1">
      <c r="B436" s="37"/>
      <c r="C436" s="6"/>
      <c r="D436" s="37"/>
      <c r="E436" s="37"/>
      <c r="F436" s="37"/>
      <c r="G436" s="37"/>
      <c r="H436" s="37"/>
    </row>
    <row r="437" ht="15.75" customHeight="1">
      <c r="B437" s="37"/>
      <c r="C437" s="6"/>
      <c r="D437" s="37"/>
      <c r="E437" s="37"/>
      <c r="F437" s="37"/>
      <c r="G437" s="37"/>
      <c r="H437" s="37"/>
    </row>
    <row r="438" ht="15.75" customHeight="1">
      <c r="B438" s="37"/>
      <c r="C438" s="6"/>
      <c r="D438" s="37"/>
      <c r="E438" s="37"/>
      <c r="F438" s="37"/>
      <c r="G438" s="37"/>
      <c r="H438" s="37"/>
    </row>
    <row r="439" ht="15.75" customHeight="1">
      <c r="B439" s="37"/>
      <c r="C439" s="6"/>
      <c r="D439" s="37"/>
      <c r="E439" s="37"/>
      <c r="F439" s="37"/>
      <c r="G439" s="37"/>
      <c r="H439" s="37"/>
    </row>
    <row r="440" ht="15.75" customHeight="1">
      <c r="B440" s="37"/>
      <c r="C440" s="6"/>
      <c r="D440" s="37"/>
      <c r="E440" s="37"/>
      <c r="F440" s="37"/>
      <c r="G440" s="37"/>
      <c r="H440" s="37"/>
    </row>
    <row r="441" ht="15.75" customHeight="1">
      <c r="B441" s="37"/>
      <c r="C441" s="6"/>
      <c r="D441" s="37"/>
      <c r="E441" s="37"/>
      <c r="F441" s="37"/>
      <c r="G441" s="37"/>
      <c r="H441" s="37"/>
    </row>
    <row r="442" ht="15.75" customHeight="1">
      <c r="B442" s="37"/>
      <c r="C442" s="6"/>
      <c r="D442" s="37"/>
      <c r="E442" s="37"/>
      <c r="F442" s="37"/>
      <c r="G442" s="37"/>
      <c r="H442" s="37"/>
    </row>
    <row r="443" ht="15.75" customHeight="1">
      <c r="B443" s="37"/>
      <c r="C443" s="6"/>
      <c r="D443" s="37"/>
      <c r="E443" s="37"/>
      <c r="F443" s="37"/>
      <c r="G443" s="37"/>
      <c r="H443" s="37"/>
    </row>
    <row r="444" ht="15.75" customHeight="1">
      <c r="B444" s="37"/>
      <c r="C444" s="6"/>
      <c r="D444" s="37"/>
      <c r="E444" s="37"/>
      <c r="F444" s="37"/>
      <c r="G444" s="37"/>
      <c r="H444" s="37"/>
    </row>
    <row r="445" ht="15.75" customHeight="1">
      <c r="B445" s="37"/>
      <c r="C445" s="6"/>
      <c r="D445" s="37"/>
      <c r="E445" s="37"/>
      <c r="F445" s="37"/>
      <c r="G445" s="37"/>
      <c r="H445" s="37"/>
    </row>
    <row r="446" ht="15.75" customHeight="1">
      <c r="B446" s="37"/>
      <c r="C446" s="6"/>
      <c r="D446" s="37"/>
      <c r="E446" s="37"/>
      <c r="F446" s="37"/>
      <c r="G446" s="37"/>
      <c r="H446" s="37"/>
    </row>
    <row r="447" ht="15.75" customHeight="1">
      <c r="B447" s="37"/>
      <c r="C447" s="6"/>
      <c r="D447" s="37"/>
      <c r="E447" s="37"/>
      <c r="F447" s="37"/>
      <c r="G447" s="37"/>
      <c r="H447" s="37"/>
    </row>
    <row r="448" ht="15.75" customHeight="1">
      <c r="B448" s="37"/>
      <c r="C448" s="6"/>
      <c r="D448" s="37"/>
      <c r="E448" s="37"/>
      <c r="F448" s="37"/>
      <c r="G448" s="37"/>
      <c r="H448" s="37"/>
    </row>
    <row r="449" ht="15.75" customHeight="1">
      <c r="B449" s="37"/>
      <c r="C449" s="6"/>
      <c r="D449" s="37"/>
      <c r="E449" s="37"/>
      <c r="F449" s="37"/>
      <c r="G449" s="37"/>
      <c r="H449" s="37"/>
    </row>
    <row r="450" ht="15.75" customHeight="1">
      <c r="B450" s="37"/>
      <c r="C450" s="6"/>
      <c r="D450" s="37"/>
      <c r="E450" s="37"/>
      <c r="F450" s="37"/>
      <c r="G450" s="37"/>
      <c r="H450" s="37"/>
    </row>
    <row r="451" ht="15.75" customHeight="1">
      <c r="B451" s="37"/>
      <c r="C451" s="6"/>
      <c r="D451" s="37"/>
      <c r="E451" s="37"/>
      <c r="F451" s="37"/>
      <c r="G451" s="37"/>
      <c r="H451" s="37"/>
    </row>
    <row r="452" ht="15.75" customHeight="1">
      <c r="B452" s="37"/>
      <c r="C452" s="6"/>
      <c r="D452" s="37"/>
      <c r="E452" s="37"/>
      <c r="F452" s="37"/>
      <c r="G452" s="37"/>
      <c r="H452" s="37"/>
    </row>
    <row r="453" ht="15.75" customHeight="1">
      <c r="B453" s="37"/>
      <c r="C453" s="6"/>
      <c r="D453" s="37"/>
      <c r="E453" s="37"/>
      <c r="F453" s="37"/>
      <c r="G453" s="37"/>
      <c r="H453" s="37"/>
    </row>
    <row r="454" ht="15.75" customHeight="1">
      <c r="B454" s="37"/>
      <c r="C454" s="6"/>
      <c r="D454" s="37"/>
      <c r="E454" s="37"/>
      <c r="F454" s="37"/>
      <c r="G454" s="37"/>
      <c r="H454" s="37"/>
    </row>
    <row r="455" ht="15.75" customHeight="1">
      <c r="B455" s="37"/>
      <c r="C455" s="6"/>
      <c r="D455" s="37"/>
      <c r="E455" s="37"/>
      <c r="F455" s="37"/>
      <c r="G455" s="37"/>
      <c r="H455" s="37"/>
    </row>
    <row r="456" ht="15.75" customHeight="1">
      <c r="B456" s="37"/>
      <c r="C456" s="6"/>
      <c r="D456" s="37"/>
      <c r="E456" s="37"/>
      <c r="F456" s="37"/>
      <c r="G456" s="37"/>
      <c r="H456" s="37"/>
    </row>
    <row r="457" ht="15.75" customHeight="1">
      <c r="B457" s="37"/>
      <c r="C457" s="6"/>
      <c r="D457" s="37"/>
      <c r="E457" s="37"/>
      <c r="F457" s="37"/>
      <c r="G457" s="37"/>
      <c r="H457" s="37"/>
    </row>
    <row r="458" ht="15.75" customHeight="1">
      <c r="B458" s="37"/>
      <c r="C458" s="6"/>
      <c r="D458" s="37"/>
      <c r="E458" s="37"/>
      <c r="F458" s="37"/>
      <c r="G458" s="37"/>
      <c r="H458" s="37"/>
    </row>
    <row r="459" ht="15.75" customHeight="1">
      <c r="B459" s="37"/>
      <c r="C459" s="6"/>
      <c r="D459" s="37"/>
      <c r="E459" s="37"/>
      <c r="F459" s="37"/>
      <c r="G459" s="37"/>
      <c r="H459" s="37"/>
    </row>
    <row r="460" ht="15.75" customHeight="1">
      <c r="B460" s="37"/>
      <c r="C460" s="6"/>
      <c r="D460" s="37"/>
      <c r="E460" s="37"/>
      <c r="F460" s="37"/>
      <c r="G460" s="37"/>
      <c r="H460" s="37"/>
    </row>
    <row r="461" ht="15.75" customHeight="1">
      <c r="B461" s="37"/>
      <c r="C461" s="6"/>
      <c r="D461" s="37"/>
      <c r="E461" s="37"/>
      <c r="F461" s="37"/>
      <c r="G461" s="37"/>
      <c r="H461" s="37"/>
    </row>
    <row r="462" ht="15.75" customHeight="1">
      <c r="B462" s="37"/>
      <c r="C462" s="6"/>
      <c r="D462" s="37"/>
      <c r="E462" s="37"/>
      <c r="F462" s="37"/>
      <c r="G462" s="37"/>
      <c r="H462" s="37"/>
    </row>
    <row r="463" ht="15.75" customHeight="1">
      <c r="B463" s="37"/>
      <c r="C463" s="6"/>
      <c r="D463" s="37"/>
      <c r="E463" s="37"/>
      <c r="F463" s="37"/>
      <c r="G463" s="37"/>
      <c r="H463" s="37"/>
    </row>
    <row r="464" ht="15.75" customHeight="1">
      <c r="B464" s="37"/>
      <c r="C464" s="6"/>
      <c r="D464" s="37"/>
      <c r="E464" s="37"/>
      <c r="F464" s="37"/>
      <c r="G464" s="37"/>
      <c r="H464" s="37"/>
    </row>
    <row r="465" ht="15.75" customHeight="1">
      <c r="B465" s="37"/>
      <c r="C465" s="6"/>
      <c r="D465" s="37"/>
      <c r="E465" s="37"/>
      <c r="F465" s="37"/>
      <c r="G465" s="37"/>
      <c r="H465" s="37"/>
    </row>
    <row r="466" ht="15.75" customHeight="1">
      <c r="B466" s="37"/>
      <c r="C466" s="6"/>
      <c r="D466" s="37"/>
      <c r="E466" s="37"/>
      <c r="F466" s="37"/>
      <c r="G466" s="37"/>
      <c r="H466" s="37"/>
    </row>
    <row r="467" ht="15.75" customHeight="1">
      <c r="B467" s="37"/>
      <c r="C467" s="6"/>
      <c r="D467" s="37"/>
      <c r="E467" s="37"/>
      <c r="F467" s="37"/>
      <c r="G467" s="37"/>
      <c r="H467" s="37"/>
    </row>
    <row r="468" ht="15.75" customHeight="1">
      <c r="B468" s="37"/>
      <c r="C468" s="6"/>
      <c r="D468" s="37"/>
      <c r="E468" s="37"/>
      <c r="F468" s="37"/>
      <c r="G468" s="37"/>
      <c r="H468" s="37"/>
    </row>
    <row r="469" ht="15.75" customHeight="1">
      <c r="B469" s="37"/>
      <c r="C469" s="6"/>
      <c r="D469" s="37"/>
      <c r="E469" s="37"/>
      <c r="F469" s="37"/>
      <c r="G469" s="37"/>
      <c r="H469" s="37"/>
    </row>
    <row r="470" ht="15.75" customHeight="1">
      <c r="B470" s="37"/>
      <c r="C470" s="6"/>
      <c r="D470" s="37"/>
      <c r="E470" s="37"/>
      <c r="F470" s="37"/>
      <c r="G470" s="37"/>
      <c r="H470" s="37"/>
    </row>
    <row r="471" ht="15.75" customHeight="1">
      <c r="B471" s="37"/>
      <c r="C471" s="6"/>
      <c r="D471" s="37"/>
      <c r="E471" s="37"/>
      <c r="F471" s="37"/>
      <c r="G471" s="37"/>
      <c r="H471" s="37"/>
    </row>
    <row r="472" ht="15.75" customHeight="1">
      <c r="B472" s="37"/>
      <c r="C472" s="6"/>
      <c r="D472" s="37"/>
      <c r="E472" s="37"/>
      <c r="F472" s="37"/>
      <c r="G472" s="37"/>
      <c r="H472" s="37"/>
    </row>
    <row r="473" ht="15.75" customHeight="1">
      <c r="B473" s="37"/>
      <c r="C473" s="6"/>
      <c r="D473" s="37"/>
      <c r="E473" s="37"/>
      <c r="F473" s="37"/>
      <c r="G473" s="37"/>
      <c r="H473" s="37"/>
    </row>
    <row r="474" ht="15.75" customHeight="1">
      <c r="B474" s="37"/>
      <c r="C474" s="6"/>
      <c r="D474" s="37"/>
      <c r="E474" s="37"/>
      <c r="F474" s="37"/>
      <c r="G474" s="37"/>
      <c r="H474" s="37"/>
    </row>
    <row r="475" ht="15.75" customHeight="1">
      <c r="B475" s="37"/>
      <c r="C475" s="6"/>
      <c r="D475" s="37"/>
      <c r="E475" s="37"/>
      <c r="F475" s="37"/>
      <c r="G475" s="37"/>
      <c r="H475" s="37"/>
    </row>
    <row r="476" ht="15.75" customHeight="1">
      <c r="B476" s="37"/>
      <c r="C476" s="6"/>
      <c r="D476" s="37"/>
      <c r="E476" s="37"/>
      <c r="F476" s="37"/>
      <c r="G476" s="37"/>
      <c r="H476" s="37"/>
    </row>
    <row r="477" ht="15.75" customHeight="1">
      <c r="B477" s="37"/>
      <c r="C477" s="6"/>
      <c r="D477" s="37"/>
      <c r="E477" s="37"/>
      <c r="F477" s="37"/>
      <c r="G477" s="37"/>
      <c r="H477" s="37"/>
    </row>
    <row r="478" ht="15.75" customHeight="1">
      <c r="B478" s="37"/>
      <c r="C478" s="6"/>
      <c r="D478" s="37"/>
      <c r="E478" s="37"/>
      <c r="F478" s="37"/>
      <c r="G478" s="37"/>
      <c r="H478" s="37"/>
    </row>
    <row r="479" ht="15.75" customHeight="1">
      <c r="B479" s="37"/>
      <c r="C479" s="6"/>
      <c r="D479" s="37"/>
      <c r="E479" s="37"/>
      <c r="F479" s="37"/>
      <c r="G479" s="37"/>
      <c r="H479" s="37"/>
    </row>
    <row r="480" ht="15.75" customHeight="1">
      <c r="B480" s="37"/>
      <c r="C480" s="6"/>
      <c r="D480" s="37"/>
      <c r="E480" s="37"/>
      <c r="F480" s="37"/>
      <c r="G480" s="37"/>
      <c r="H480" s="37"/>
    </row>
    <row r="481" ht="15.75" customHeight="1">
      <c r="B481" s="37"/>
      <c r="C481" s="6"/>
      <c r="D481" s="37"/>
      <c r="E481" s="37"/>
      <c r="F481" s="37"/>
      <c r="G481" s="37"/>
      <c r="H481" s="37"/>
    </row>
    <row r="482" ht="15.75" customHeight="1">
      <c r="B482" s="37"/>
      <c r="C482" s="6"/>
      <c r="D482" s="37"/>
      <c r="E482" s="37"/>
      <c r="F482" s="37"/>
      <c r="G482" s="37"/>
      <c r="H482" s="37"/>
    </row>
    <row r="483" ht="15.75" customHeight="1">
      <c r="B483" s="37"/>
      <c r="C483" s="6"/>
      <c r="D483" s="37"/>
      <c r="E483" s="37"/>
      <c r="F483" s="37"/>
      <c r="G483" s="37"/>
      <c r="H483" s="37"/>
    </row>
    <row r="484" ht="15.75" customHeight="1">
      <c r="B484" s="37"/>
      <c r="C484" s="6"/>
      <c r="D484" s="37"/>
      <c r="E484" s="37"/>
      <c r="F484" s="37"/>
      <c r="G484" s="37"/>
      <c r="H484" s="37"/>
    </row>
    <row r="485" ht="15.75" customHeight="1">
      <c r="B485" s="37"/>
      <c r="C485" s="6"/>
      <c r="D485" s="37"/>
      <c r="E485" s="37"/>
      <c r="F485" s="37"/>
      <c r="G485" s="37"/>
      <c r="H485" s="37"/>
    </row>
    <row r="486" ht="15.75" customHeight="1">
      <c r="B486" s="37"/>
      <c r="C486" s="6"/>
      <c r="D486" s="37"/>
      <c r="E486" s="37"/>
      <c r="F486" s="37"/>
      <c r="G486" s="37"/>
      <c r="H486" s="37"/>
    </row>
    <row r="487" ht="15.75" customHeight="1">
      <c r="B487" s="37"/>
      <c r="C487" s="6"/>
      <c r="D487" s="37"/>
      <c r="E487" s="37"/>
      <c r="F487" s="37"/>
      <c r="G487" s="37"/>
      <c r="H487" s="37"/>
    </row>
    <row r="488" ht="15.75" customHeight="1">
      <c r="B488" s="37"/>
      <c r="C488" s="6"/>
      <c r="D488" s="37"/>
      <c r="E488" s="37"/>
      <c r="F488" s="37"/>
      <c r="G488" s="37"/>
      <c r="H488" s="37"/>
    </row>
    <row r="489" ht="15.75" customHeight="1">
      <c r="B489" s="37"/>
      <c r="C489" s="6"/>
      <c r="D489" s="37"/>
      <c r="E489" s="37"/>
      <c r="F489" s="37"/>
      <c r="G489" s="37"/>
      <c r="H489" s="37"/>
    </row>
    <row r="490" ht="15.75" customHeight="1">
      <c r="B490" s="37"/>
      <c r="C490" s="6"/>
      <c r="D490" s="37"/>
      <c r="E490" s="37"/>
      <c r="F490" s="37"/>
      <c r="G490" s="37"/>
      <c r="H490" s="37"/>
    </row>
    <row r="491" ht="15.75" customHeight="1">
      <c r="B491" s="37"/>
      <c r="C491" s="6"/>
      <c r="D491" s="37"/>
      <c r="E491" s="37"/>
      <c r="F491" s="37"/>
      <c r="G491" s="37"/>
      <c r="H491" s="37"/>
    </row>
    <row r="492" ht="15.75" customHeight="1">
      <c r="B492" s="37"/>
      <c r="C492" s="6"/>
      <c r="D492" s="37"/>
      <c r="E492" s="37"/>
      <c r="F492" s="37"/>
      <c r="G492" s="37"/>
      <c r="H492" s="37"/>
    </row>
    <row r="493" ht="15.75" customHeight="1">
      <c r="B493" s="37"/>
      <c r="C493" s="6"/>
      <c r="D493" s="37"/>
      <c r="E493" s="37"/>
      <c r="F493" s="37"/>
      <c r="G493" s="37"/>
      <c r="H493" s="37"/>
    </row>
    <row r="494" ht="15.75" customHeight="1">
      <c r="B494" s="37"/>
      <c r="C494" s="6"/>
      <c r="D494" s="37"/>
      <c r="E494" s="37"/>
      <c r="F494" s="37"/>
      <c r="G494" s="37"/>
      <c r="H494" s="37"/>
    </row>
    <row r="495" ht="15.75" customHeight="1">
      <c r="B495" s="37"/>
      <c r="C495" s="6"/>
      <c r="D495" s="37"/>
      <c r="E495" s="37"/>
      <c r="F495" s="37"/>
      <c r="G495" s="37"/>
      <c r="H495" s="37"/>
    </row>
    <row r="496" ht="15.75" customHeight="1">
      <c r="B496" s="37"/>
      <c r="C496" s="6"/>
      <c r="D496" s="37"/>
      <c r="E496" s="37"/>
      <c r="F496" s="37"/>
      <c r="G496" s="37"/>
      <c r="H496" s="37"/>
    </row>
    <row r="497" ht="15.75" customHeight="1">
      <c r="B497" s="37"/>
      <c r="C497" s="6"/>
      <c r="D497" s="37"/>
      <c r="E497" s="37"/>
      <c r="F497" s="37"/>
      <c r="G497" s="37"/>
      <c r="H497" s="37"/>
    </row>
    <row r="498" ht="15.75" customHeight="1">
      <c r="B498" s="37"/>
      <c r="C498" s="6"/>
      <c r="D498" s="37"/>
      <c r="E498" s="37"/>
      <c r="F498" s="37"/>
      <c r="G498" s="37"/>
      <c r="H498" s="37"/>
    </row>
    <row r="499" ht="15.75" customHeight="1">
      <c r="B499" s="37"/>
      <c r="C499" s="6"/>
      <c r="D499" s="37"/>
      <c r="E499" s="37"/>
      <c r="F499" s="37"/>
      <c r="G499" s="37"/>
      <c r="H499" s="37"/>
    </row>
    <row r="500" ht="15.75" customHeight="1">
      <c r="B500" s="37"/>
      <c r="C500" s="6"/>
      <c r="D500" s="37"/>
      <c r="E500" s="37"/>
      <c r="F500" s="37"/>
      <c r="G500" s="37"/>
      <c r="H500" s="37"/>
    </row>
    <row r="501" ht="15.75" customHeight="1">
      <c r="B501" s="37"/>
      <c r="C501" s="6"/>
      <c r="D501" s="37"/>
      <c r="E501" s="37"/>
      <c r="F501" s="37"/>
      <c r="G501" s="37"/>
      <c r="H501" s="37"/>
    </row>
    <row r="502" ht="15.75" customHeight="1">
      <c r="B502" s="37"/>
      <c r="C502" s="6"/>
      <c r="D502" s="37"/>
      <c r="E502" s="37"/>
      <c r="F502" s="37"/>
      <c r="G502" s="37"/>
      <c r="H502" s="37"/>
    </row>
    <row r="503" ht="15.75" customHeight="1">
      <c r="B503" s="37"/>
      <c r="C503" s="6"/>
      <c r="D503" s="37"/>
      <c r="E503" s="37"/>
      <c r="F503" s="37"/>
      <c r="G503" s="37"/>
      <c r="H503" s="37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3" t="s">
        <v>63</v>
      </c>
    </row>
    <row r="2" ht="15.75" customHeight="1"/>
    <row r="3" ht="15.75" customHeight="1">
      <c r="B3" s="74" t="s">
        <v>64</v>
      </c>
      <c r="C3" s="11"/>
      <c r="D3" s="11"/>
      <c r="E3" s="11"/>
      <c r="F3" s="11"/>
      <c r="G3" s="13"/>
      <c r="H3" s="49"/>
      <c r="I3" s="74" t="s">
        <v>65</v>
      </c>
      <c r="J3" s="11"/>
      <c r="K3" s="11"/>
      <c r="L3" s="11"/>
      <c r="M3" s="11"/>
      <c r="N3" s="11"/>
      <c r="O3" s="11"/>
      <c r="P3" s="13"/>
    </row>
    <row r="4" ht="15.75" customHeight="1">
      <c r="B4" s="75">
        <v>1.0</v>
      </c>
      <c r="C4" s="16" t="s">
        <v>66</v>
      </c>
      <c r="D4" s="11"/>
      <c r="E4" s="11"/>
      <c r="F4" s="11"/>
      <c r="G4" s="13"/>
      <c r="H4" s="76"/>
      <c r="I4" s="75">
        <v>1.0</v>
      </c>
      <c r="J4" s="16" t="s">
        <v>67</v>
      </c>
      <c r="K4" s="11"/>
      <c r="L4" s="11"/>
      <c r="M4" s="11"/>
      <c r="N4" s="11"/>
      <c r="O4" s="11"/>
      <c r="P4" s="13"/>
    </row>
    <row r="5" ht="15.75" customHeight="1">
      <c r="B5" s="77">
        <v>2.0</v>
      </c>
      <c r="C5" s="16" t="s">
        <v>68</v>
      </c>
      <c r="D5" s="11"/>
      <c r="E5" s="11"/>
      <c r="F5" s="11"/>
      <c r="G5" s="13"/>
      <c r="H5" s="49"/>
      <c r="I5" s="78">
        <v>2.0</v>
      </c>
      <c r="J5" s="16" t="s">
        <v>69</v>
      </c>
      <c r="K5" s="11"/>
      <c r="L5" s="11"/>
      <c r="M5" s="11"/>
      <c r="N5" s="11"/>
      <c r="O5" s="11"/>
      <c r="P5" s="13"/>
    </row>
    <row r="6" ht="15.75" customHeight="1">
      <c r="B6" s="77">
        <v>3.0</v>
      </c>
      <c r="C6" s="16" t="s">
        <v>70</v>
      </c>
      <c r="D6" s="11"/>
      <c r="E6" s="11"/>
      <c r="F6" s="11"/>
      <c r="G6" s="13"/>
      <c r="H6" s="49"/>
      <c r="I6" s="78">
        <v>3.0</v>
      </c>
      <c r="J6" s="16" t="s">
        <v>71</v>
      </c>
      <c r="K6" s="11"/>
      <c r="L6" s="11"/>
      <c r="M6" s="11"/>
      <c r="N6" s="11"/>
      <c r="O6" s="11"/>
      <c r="P6" s="13"/>
    </row>
    <row r="7" ht="15.75" customHeight="1">
      <c r="G7" s="79"/>
    </row>
    <row r="8" ht="15.75" customHeight="1"/>
    <row r="9" ht="15.75" customHeight="1">
      <c r="B9" s="80" t="s">
        <v>23</v>
      </c>
      <c r="C9" s="80" t="s">
        <v>61</v>
      </c>
      <c r="D9" s="80" t="s">
        <v>72</v>
      </c>
      <c r="E9" s="81" t="s">
        <v>73</v>
      </c>
      <c r="F9" s="13"/>
      <c r="G9" s="82" t="s">
        <v>74</v>
      </c>
      <c r="H9" s="83" t="s">
        <v>75</v>
      </c>
      <c r="I9" s="13"/>
      <c r="J9" s="80" t="s">
        <v>76</v>
      </c>
    </row>
    <row r="10" ht="15.75" customHeight="1">
      <c r="B10" s="84">
        <v>1.0</v>
      </c>
      <c r="C10" s="85" t="s">
        <v>77</v>
      </c>
      <c r="D10" s="86" t="s">
        <v>78</v>
      </c>
      <c r="E10" s="87" t="s">
        <v>79</v>
      </c>
      <c r="F10" s="13"/>
      <c r="G10" s="88" t="s">
        <v>80</v>
      </c>
      <c r="H10" s="89" t="s">
        <v>81</v>
      </c>
      <c r="I10" s="13"/>
      <c r="J10" s="90" t="s">
        <v>82</v>
      </c>
    </row>
    <row r="11" ht="15.75" customHeight="1">
      <c r="B11" s="91"/>
      <c r="C11" s="92" t="str">
        <f>D10 &amp; " " &amp; E10 &amp; " " &amp;G10&amp; " " &amp;H10&amp; " " </f>
        <v>Explica el concepto de  Cloud Computing, sus modelos de servicio y las ventajas y limitaciones de distintos proveedores Cloud mediante ejemplos cotidianos, casos de uso empresarial y comparativas para el desarrollo de infraestructuras escalables y rentables. </v>
      </c>
      <c r="D11" s="11"/>
      <c r="E11" s="11"/>
      <c r="F11" s="11"/>
      <c r="G11" s="11"/>
      <c r="H11" s="11"/>
      <c r="I11" s="11"/>
      <c r="J11" s="13"/>
    </row>
    <row r="12" ht="15.75" customHeight="1">
      <c r="B12" s="84">
        <v>2.0</v>
      </c>
      <c r="C12" s="93" t="s">
        <v>77</v>
      </c>
      <c r="D12" s="86" t="s">
        <v>83</v>
      </c>
      <c r="E12" s="87" t="s">
        <v>84</v>
      </c>
      <c r="F12" s="13"/>
      <c r="G12" s="88" t="s">
        <v>85</v>
      </c>
      <c r="H12" s="89" t="s">
        <v>86</v>
      </c>
      <c r="I12" s="13"/>
      <c r="J12" s="90" t="s">
        <v>87</v>
      </c>
    </row>
    <row r="13" ht="15.75" customHeight="1">
      <c r="B13" s="91"/>
      <c r="C13" s="92" t="str">
        <f>D12 &amp; " " &amp; E12 &amp; " " &amp;G12&amp; " " &amp;H12&amp; " " 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3" s="11"/>
      <c r="E13" s="11"/>
      <c r="F13" s="11"/>
      <c r="G13" s="11"/>
      <c r="H13" s="11"/>
      <c r="I13" s="11"/>
      <c r="J13" s="13"/>
    </row>
    <row r="14" ht="15.75" customHeight="1">
      <c r="B14" s="84">
        <v>3.0</v>
      </c>
      <c r="C14" s="93" t="s">
        <v>77</v>
      </c>
      <c r="D14" s="86" t="s">
        <v>88</v>
      </c>
      <c r="E14" s="87" t="s">
        <v>89</v>
      </c>
      <c r="F14" s="13"/>
      <c r="G14" s="88" t="s">
        <v>90</v>
      </c>
      <c r="H14" s="89" t="s">
        <v>91</v>
      </c>
      <c r="I14" s="13"/>
      <c r="J14" s="90" t="s">
        <v>87</v>
      </c>
    </row>
    <row r="15" ht="15.75" customHeight="1">
      <c r="B15" s="91"/>
      <c r="C15" s="92" t="str">
        <f>D14 &amp; " " &amp; E14 &amp; " " &amp;G14&amp; " " &amp;H14&amp; " " </f>
        <v>Desarrolla aplicaciones serverless simples utilizando AWS Lambda y Azure Functions para procesar eventos y ejecutar la lógica de los negocios </v>
      </c>
      <c r="D15" s="11"/>
      <c r="E15" s="11"/>
      <c r="F15" s="11"/>
      <c r="G15" s="11"/>
      <c r="H15" s="11"/>
      <c r="I15" s="11"/>
      <c r="J15" s="13"/>
    </row>
    <row r="16" ht="15.75" customHeight="1">
      <c r="B16" s="84">
        <v>4.0</v>
      </c>
      <c r="C16" s="93" t="s">
        <v>77</v>
      </c>
      <c r="D16" s="86" t="s">
        <v>83</v>
      </c>
      <c r="E16" s="87" t="s">
        <v>92</v>
      </c>
      <c r="F16" s="13"/>
      <c r="G16" s="88" t="s">
        <v>93</v>
      </c>
      <c r="H16" s="89" t="s">
        <v>94</v>
      </c>
      <c r="I16" s="13"/>
      <c r="J16" s="90" t="s">
        <v>95</v>
      </c>
    </row>
    <row r="17" ht="15.75" customHeight="1">
      <c r="B17" s="91"/>
      <c r="C17" s="92" t="str">
        <f>D16 &amp; " " &amp; E16 &amp; " " &amp;G16&amp; " " &amp;H16&amp; " " </f>
        <v>Implementa servicios de inteligencia artificial utilizando IA de AWS y Azure Cognitive Services para resolver problemas de lenguaje natrual, análisis de imagenes o chabots. </v>
      </c>
      <c r="D17" s="11"/>
      <c r="E17" s="11"/>
      <c r="F17" s="11"/>
      <c r="G17" s="11"/>
      <c r="H17" s="11"/>
      <c r="I17" s="11"/>
      <c r="J17" s="13"/>
    </row>
    <row r="18" ht="15.75" customHeight="1">
      <c r="B18" s="84">
        <v>5.0</v>
      </c>
      <c r="C18" s="93" t="s">
        <v>77</v>
      </c>
      <c r="D18" s="86" t="s">
        <v>88</v>
      </c>
      <c r="E18" s="87" t="s">
        <v>96</v>
      </c>
      <c r="F18" s="13"/>
      <c r="G18" s="88" t="s">
        <v>97</v>
      </c>
      <c r="H18" s="89" t="s">
        <v>98</v>
      </c>
      <c r="I18" s="13"/>
      <c r="J18" s="90" t="s">
        <v>87</v>
      </c>
    </row>
    <row r="19" ht="15.75" customHeight="1">
      <c r="B19" s="91"/>
      <c r="C19" s="92" t="str">
        <f>D18 &amp; " " &amp; E18 &amp; " " &amp;G18&amp; " " &amp;H18&amp; " " </f>
        <v>Desarrolla aplicaciones low-code utilizando Power Automate y Power apps para integrar sistemas, flujos de trabajo y datos. </v>
      </c>
      <c r="D19" s="11"/>
      <c r="E19" s="11"/>
      <c r="F19" s="11"/>
      <c r="G19" s="11"/>
      <c r="H19" s="11"/>
      <c r="I19" s="11"/>
      <c r="J19" s="13"/>
    </row>
    <row r="20" ht="15.75" customHeight="1">
      <c r="B20" s="84">
        <v>6.0</v>
      </c>
      <c r="C20" s="93" t="s">
        <v>77</v>
      </c>
      <c r="D20" s="86" t="s">
        <v>99</v>
      </c>
      <c r="E20" s="87" t="s">
        <v>100</v>
      </c>
      <c r="F20" s="13"/>
      <c r="G20" s="88" t="s">
        <v>101</v>
      </c>
      <c r="H20" s="89" t="s">
        <v>102</v>
      </c>
      <c r="I20" s="13"/>
      <c r="J20" s="90" t="s">
        <v>87</v>
      </c>
    </row>
    <row r="21" ht="15.75" customHeight="1">
      <c r="B21" s="91"/>
      <c r="C21" s="92" t="str">
        <f>D20 &amp; " " &amp; E20 &amp; " " &amp;G20&amp; " " &amp;H20&amp; " " </f>
        <v>Empaqueta aplicaciones en contenedores utilizando Docker para garantizar portabilidad y consistencia entre entornos de desarrollo, pruebas y producción. </v>
      </c>
      <c r="D21" s="11"/>
      <c r="E21" s="11"/>
      <c r="F21" s="11"/>
      <c r="G21" s="11"/>
      <c r="H21" s="11"/>
      <c r="I21" s="11"/>
      <c r="J21" s="13"/>
    </row>
    <row r="22" ht="15.75" customHeight="1">
      <c r="B22" s="84">
        <v>7.0</v>
      </c>
      <c r="C22" s="93" t="s">
        <v>77</v>
      </c>
      <c r="D22" s="86" t="s">
        <v>103</v>
      </c>
      <c r="E22" s="87" t="s">
        <v>104</v>
      </c>
      <c r="F22" s="13"/>
      <c r="G22" s="88" t="s">
        <v>105</v>
      </c>
      <c r="H22" s="89" t="s">
        <v>106</v>
      </c>
      <c r="I22" s="13"/>
      <c r="J22" s="90" t="s">
        <v>87</v>
      </c>
    </row>
    <row r="23" ht="15.75" customHeight="1">
      <c r="B23" s="91"/>
      <c r="C23" s="92" t="str">
        <f>D22 &amp; " " &amp; E22 &amp; " " &amp;G22&amp; " " &amp;H22&amp; " " </f>
        <v>Aplica principios básicos de ingeniería a través de conceptos de Cloud Computing para el desarrollo de aplicaciones básicas </v>
      </c>
      <c r="D23" s="11"/>
      <c r="E23" s="11"/>
      <c r="F23" s="11"/>
      <c r="G23" s="11"/>
      <c r="H23" s="11"/>
      <c r="I23" s="11"/>
      <c r="J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5" t="s">
        <v>107</v>
      </c>
    </row>
    <row r="2" ht="15.75" customHeight="1">
      <c r="C2" s="6"/>
      <c r="D2" s="6"/>
      <c r="E2" s="6"/>
      <c r="F2" s="6"/>
    </row>
    <row r="3" ht="15.75" customHeight="1">
      <c r="B3" s="8" t="s">
        <v>4</v>
      </c>
      <c r="C3" s="14" t="s">
        <v>108</v>
      </c>
      <c r="D3" s="94"/>
      <c r="E3" s="94"/>
      <c r="F3" s="94"/>
      <c r="G3" s="95"/>
    </row>
    <row r="4" ht="15.75" customHeight="1">
      <c r="B4" s="8" t="s">
        <v>6</v>
      </c>
      <c r="C4" s="96">
        <f t="array" ref="C4">IFERROR(_xlfn.XLOOKUP(TRIM(C3), Competencias_actuales!L15:L1000, Competencias_actuales!K15:K1000), "Código no encontrado")</f>
        <v>798</v>
      </c>
      <c r="D4" s="94"/>
      <c r="E4" s="94"/>
      <c r="F4" s="94"/>
      <c r="G4" s="95"/>
      <c r="H4" s="97" t="str">
        <f>C4&amp;" - "&amp;C3</f>
        <v>798 - Seminario de Sistemas 2</v>
      </c>
      <c r="I4" s="9"/>
      <c r="J4" s="9"/>
    </row>
    <row r="5" ht="15.75" customHeight="1">
      <c r="C5" s="6"/>
      <c r="D5" s="6"/>
      <c r="E5" s="6"/>
      <c r="F5" s="6"/>
    </row>
    <row r="6" ht="15.75" customHeight="1">
      <c r="B6" s="32" t="s">
        <v>23</v>
      </c>
      <c r="C6" s="33" t="s">
        <v>16</v>
      </c>
      <c r="D6" s="33" t="s">
        <v>17</v>
      </c>
      <c r="E6" s="33" t="s">
        <v>19</v>
      </c>
      <c r="F6" s="98" t="s">
        <v>24</v>
      </c>
      <c r="G6" s="34" t="s">
        <v>26</v>
      </c>
      <c r="H6" s="34" t="s">
        <v>27</v>
      </c>
    </row>
    <row r="7" ht="15.75" customHeight="1">
      <c r="B7" s="37">
        <f>IFERROR(__xludf.DUMMYFUNCTION("QUERY(IMPORTRANGE(VLOOKUP(H4,METADA!A:B,2,FALSE), ""Diseño Curricular!A4:G500""), )"),1.0)</f>
        <v>1</v>
      </c>
      <c r="C7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7" s="6" t="str">
        <f>IFERROR(__xludf.DUMMYFUNCTION("""COMPUTED_VALUE"""),"Unidad 1 Fundamentos de Business Intelligence y Análisis Multidimensional")</f>
        <v>Unidad 1 Fundamentos de Business Intelligence y Análisis Multidimensional</v>
      </c>
      <c r="E7" s="6" t="str">
        <f>IFERROR(__xludf.DUMMYFUNCTION("""COMPUTED_VALUE"""),"Fundamentos de BI y análisis OLAP")</f>
        <v>Fundamentos de BI y análisis OLAP</v>
      </c>
      <c r="F7" s="6" t="str">
        <f>IFERROR(__xludf.DUMMYFUNCTION("""COMPUTED_VALUE"""),"¿Qué es Business Intelligence?")</f>
        <v>¿Qué es Business Intelligence?</v>
      </c>
      <c r="G7" s="37" t="str">
        <f>IFERROR(__xludf.DUMMYFUNCTION("""COMPUTED_VALUE"""),"Julio")</f>
        <v>Julio</v>
      </c>
      <c r="H7" s="37">
        <f>IFERROR(__xludf.DUMMYFUNCTION("""COMPUTED_VALUE"""),1.0)</f>
        <v>1</v>
      </c>
    </row>
    <row r="8" ht="15.75" customHeight="1">
      <c r="B8" s="37">
        <f>IFERROR(__xludf.DUMMYFUNCTION("""COMPUTED_VALUE"""),2.0)</f>
        <v>2</v>
      </c>
      <c r="C8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8" s="6" t="str">
        <f>IFERROR(__xludf.DUMMYFUNCTION("""COMPUTED_VALUE"""),"Unidad 1 Fundamentos de Business Intelligence y Análisis Multidimensional")</f>
        <v>Unidad 1 Fundamentos de Business Intelligence y Análisis Multidimensional</v>
      </c>
      <c r="E8" s="6" t="str">
        <f>IFERROR(__xludf.DUMMYFUNCTION("""COMPUTED_VALUE"""),"Fundamentos de BI y análisis OLAP")</f>
        <v>Fundamentos de BI y análisis OLAP</v>
      </c>
      <c r="F8" s="6" t="str">
        <f>IFERROR(__xludf.DUMMYFUNCTION("""COMPUTED_VALUE"""),"Datos para la toma de decisiones")</f>
        <v>Datos para la toma de decisiones</v>
      </c>
      <c r="G8" s="37" t="str">
        <f>IFERROR(__xludf.DUMMYFUNCTION("""COMPUTED_VALUE"""),"Julio")</f>
        <v>Julio</v>
      </c>
      <c r="H8" s="37">
        <f>IFERROR(__xludf.DUMMYFUNCTION("""COMPUTED_VALUE"""),1.0)</f>
        <v>1</v>
      </c>
    </row>
    <row r="9" ht="15.75" customHeight="1">
      <c r="B9" s="37">
        <f>IFERROR(__xludf.DUMMYFUNCTION("""COMPUTED_VALUE"""),3.0)</f>
        <v>3</v>
      </c>
      <c r="C9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9" s="6" t="str">
        <f>IFERROR(__xludf.DUMMYFUNCTION("""COMPUTED_VALUE"""),"Unidad 1 Fundamentos de Business Intelligence y Análisis Multidimensional")</f>
        <v>Unidad 1 Fundamentos de Business Intelligence y Análisis Multidimensional</v>
      </c>
      <c r="E9" s="6" t="str">
        <f>IFERROR(__xludf.DUMMYFUNCTION("""COMPUTED_VALUE"""),"Fundamentos de BI y análisis OLAP")</f>
        <v>Fundamentos de BI y análisis OLAP</v>
      </c>
      <c r="F9" s="6" t="str">
        <f>IFERROR(__xludf.DUMMYFUNCTION("""COMPUTED_VALUE"""),"Niveles de madurez analítica")</f>
        <v>Niveles de madurez analítica</v>
      </c>
      <c r="G9" s="37" t="str">
        <f>IFERROR(__xludf.DUMMYFUNCTION("""COMPUTED_VALUE"""),"Julio")</f>
        <v>Julio</v>
      </c>
      <c r="H9" s="37">
        <f>IFERROR(__xludf.DUMMYFUNCTION("""COMPUTED_VALUE"""),1.0)</f>
        <v>1</v>
      </c>
    </row>
    <row r="10" ht="15.75" customHeight="1">
      <c r="B10" s="37">
        <f>IFERROR(__xludf.DUMMYFUNCTION("""COMPUTED_VALUE"""),4.0)</f>
        <v>4</v>
      </c>
      <c r="C10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0" s="6" t="str">
        <f>IFERROR(__xludf.DUMMYFUNCTION("""COMPUTED_VALUE"""),"Unidad 1 Fundamentos de Business Intelligence y Análisis Multidimensional")</f>
        <v>Unidad 1 Fundamentos de Business Intelligence y Análisis Multidimensional</v>
      </c>
      <c r="E10" s="6" t="str">
        <f>IFERROR(__xludf.DUMMYFUNCTION("""COMPUTED_VALUE"""),"Fundamentos de BI y análisis OLAP")</f>
        <v>Fundamentos de BI y análisis OLAP</v>
      </c>
      <c r="F10" s="6" t="str">
        <f>IFERROR(__xludf.DUMMYFUNCTION("""COMPUTED_VALUE"""),"Tipos de información")</f>
        <v>Tipos de información</v>
      </c>
      <c r="G10" s="37" t="str">
        <f>IFERROR(__xludf.DUMMYFUNCTION("""COMPUTED_VALUE"""),"Julio")</f>
        <v>Julio</v>
      </c>
      <c r="H10" s="37">
        <f>IFERROR(__xludf.DUMMYFUNCTION("""COMPUTED_VALUE"""),1.0)</f>
        <v>1</v>
      </c>
    </row>
    <row r="11" ht="15.75" customHeight="1">
      <c r="B11" s="37">
        <f>IFERROR(__xludf.DUMMYFUNCTION("""COMPUTED_VALUE"""),5.0)</f>
        <v>5</v>
      </c>
      <c r="C11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1" s="6" t="str">
        <f>IFERROR(__xludf.DUMMYFUNCTION("""COMPUTED_VALUE"""),"Unidad 1 Fundamentos de Business Intelligence y Análisis Multidimensional")</f>
        <v>Unidad 1 Fundamentos de Business Intelligence y Análisis Multidimensional</v>
      </c>
      <c r="E11" s="6" t="str">
        <f>IFERROR(__xludf.DUMMYFUNCTION("""COMPUTED_VALUE"""),"Fundamentos de BI y análisis OLAP")</f>
        <v>Fundamentos de BI y análisis OLAP</v>
      </c>
      <c r="F11" s="6" t="str">
        <f>IFERROR(__xludf.DUMMYFUNCTION("""COMPUTED_VALUE"""),"Introducción al análisis OLAP")</f>
        <v>Introducción al análisis OLAP</v>
      </c>
      <c r="G11" s="37" t="str">
        <f>IFERROR(__xludf.DUMMYFUNCTION("""COMPUTED_VALUE"""),"Julio")</f>
        <v>Julio</v>
      </c>
      <c r="H11" s="37">
        <f>IFERROR(__xludf.DUMMYFUNCTION("""COMPUTED_VALUE"""),1.0)</f>
        <v>1</v>
      </c>
    </row>
    <row r="12" ht="15.75" customHeight="1">
      <c r="B12" s="37">
        <f>IFERROR(__xludf.DUMMYFUNCTION("""COMPUTED_VALUE"""),6.0)</f>
        <v>6</v>
      </c>
      <c r="C12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2" s="6" t="str">
        <f>IFERROR(__xludf.DUMMYFUNCTION("""COMPUTED_VALUE"""),"Unidad 1 Fundamentos de Business Intelligence y Análisis Multidimensional")</f>
        <v>Unidad 1 Fundamentos de Business Intelligence y Análisis Multidimensional</v>
      </c>
      <c r="E12" s="6" t="str">
        <f>IFERROR(__xludf.DUMMYFUNCTION("""COMPUTED_VALUE"""),"Fundamentos de BI y análisis OLAP")</f>
        <v>Fundamentos de BI y análisis OLAP</v>
      </c>
      <c r="F12" s="6" t="str">
        <f>IFERROR(__xludf.DUMMYFUNCTION("""COMPUTED_VALUE"""),"Ventajas del análisis multidimensional")</f>
        <v>Ventajas del análisis multidimensional</v>
      </c>
      <c r="G12" s="37" t="str">
        <f>IFERROR(__xludf.DUMMYFUNCTION("""COMPUTED_VALUE"""),"Julio")</f>
        <v>Julio</v>
      </c>
      <c r="H12" s="37">
        <f>IFERROR(__xludf.DUMMYFUNCTION("""COMPUTED_VALUE"""),1.0)</f>
        <v>1</v>
      </c>
    </row>
    <row r="13" ht="15.75" customHeight="1">
      <c r="B13" s="37">
        <f>IFERROR(__xludf.DUMMYFUNCTION("""COMPUTED_VALUE"""),7.0)</f>
        <v>7</v>
      </c>
      <c r="C13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3" s="6" t="str">
        <f>IFERROR(__xludf.DUMMYFUNCTION("""COMPUTED_VALUE"""),"Unidad 1 Fundamentos de Business Intelligence y Análisis Multidimensional")</f>
        <v>Unidad 1 Fundamentos de Business Intelligence y Análisis Multidimensional</v>
      </c>
      <c r="E13" s="6" t="str">
        <f>IFERROR(__xludf.DUMMYFUNCTION("""COMPUTED_VALUE"""),"Fundamentos de BI y análisis OLAP")</f>
        <v>Fundamentos de BI y análisis OLAP</v>
      </c>
      <c r="F13" s="6" t="str">
        <f>IFERROR(__xludf.DUMMYFUNCTION("""COMPUTED_VALUE"""),"Comparativa entre OLAP y herramientas de visualización")</f>
        <v>Comparativa entre OLAP y herramientas de visualización</v>
      </c>
      <c r="G13" s="37" t="str">
        <f>IFERROR(__xludf.DUMMYFUNCTION("""COMPUTED_VALUE"""),"Julio")</f>
        <v>Julio</v>
      </c>
      <c r="H13" s="37">
        <f>IFERROR(__xludf.DUMMYFUNCTION("""COMPUTED_VALUE"""),1.0)</f>
        <v>1</v>
      </c>
    </row>
    <row r="14" ht="15.75" customHeight="1">
      <c r="B14" s="37">
        <f>IFERROR(__xludf.DUMMYFUNCTION("""COMPUTED_VALUE"""),8.0)</f>
        <v>8</v>
      </c>
      <c r="C14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4" s="6" t="str">
        <f>IFERROR(__xludf.DUMMYFUNCTION("""COMPUTED_VALUE"""),"Unidad 1 Fundamentos de Business Intelligence y Análisis Multidimensional")</f>
        <v>Unidad 1 Fundamentos de Business Intelligence y Análisis Multidimensional</v>
      </c>
      <c r="E14" s="6" t="str">
        <f>IFERROR(__xludf.DUMMYFUNCTION("""COMPUTED_VALUE"""),"Diseño y optimización de cubos multidimensionales")</f>
        <v>Diseño y optimización de cubos multidimensionales</v>
      </c>
      <c r="F14" s="6" t="str">
        <f>IFERROR(__xludf.DUMMYFUNCTION("""COMPUTED_VALUE"""),"Definición de cubo multidimensional")</f>
        <v>Definición de cubo multidimensional</v>
      </c>
      <c r="G14" s="37" t="str">
        <f>IFERROR(__xludf.DUMMYFUNCTION("""COMPUTED_VALUE"""),"Julio")</f>
        <v>Julio</v>
      </c>
      <c r="H14" s="37">
        <f>IFERROR(__xludf.DUMMYFUNCTION("""COMPUTED_VALUE"""),2.0)</f>
        <v>2</v>
      </c>
    </row>
    <row r="15" ht="15.75" customHeight="1">
      <c r="B15" s="37">
        <f>IFERROR(__xludf.DUMMYFUNCTION("""COMPUTED_VALUE"""),9.0)</f>
        <v>9</v>
      </c>
      <c r="C15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5" s="6" t="str">
        <f>IFERROR(__xludf.DUMMYFUNCTION("""COMPUTED_VALUE"""),"Unidad 1 Fundamentos de Business Intelligence y Análisis Multidimensional")</f>
        <v>Unidad 1 Fundamentos de Business Intelligence y Análisis Multidimensional</v>
      </c>
      <c r="E15" s="6" t="str">
        <f>IFERROR(__xludf.DUMMYFUNCTION("""COMPUTED_VALUE"""),"Diseño y optimización de cubos multidimensionales")</f>
        <v>Diseño y optimización de cubos multidimensionales</v>
      </c>
      <c r="F15" s="6" t="str">
        <f>IFERROR(__xludf.DUMMYFUNCTION("""COMPUTED_VALUE"""),"Dimensiones y jerarquías")</f>
        <v>Dimensiones y jerarquías</v>
      </c>
      <c r="G15" s="37" t="str">
        <f>IFERROR(__xludf.DUMMYFUNCTION("""COMPUTED_VALUE"""),"Julio")</f>
        <v>Julio</v>
      </c>
      <c r="H15" s="37">
        <f>IFERROR(__xludf.DUMMYFUNCTION("""COMPUTED_VALUE"""),2.0)</f>
        <v>2</v>
      </c>
    </row>
    <row r="16" ht="15.75" customHeight="1">
      <c r="B16" s="37">
        <f>IFERROR(__xludf.DUMMYFUNCTION("""COMPUTED_VALUE"""),10.0)</f>
        <v>10</v>
      </c>
      <c r="C16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6" s="6" t="str">
        <f>IFERROR(__xludf.DUMMYFUNCTION("""COMPUTED_VALUE"""),"Unidad 1 Fundamentos de Business Intelligence y Análisis Multidimensional")</f>
        <v>Unidad 1 Fundamentos de Business Intelligence y Análisis Multidimensional</v>
      </c>
      <c r="E16" s="6" t="str">
        <f>IFERROR(__xludf.DUMMYFUNCTION("""COMPUTED_VALUE"""),"Diseño y optimización de cubos multidimensionales")</f>
        <v>Diseño y optimización de cubos multidimensionales</v>
      </c>
      <c r="F16" s="6" t="str">
        <f>IFERROR(__xludf.DUMMYFUNCTION("""COMPUTED_VALUE"""),"Medidas y agregaciones")</f>
        <v>Medidas y agregaciones</v>
      </c>
      <c r="G16" s="37" t="str">
        <f>IFERROR(__xludf.DUMMYFUNCTION("""COMPUTED_VALUE"""),"Julio")</f>
        <v>Julio</v>
      </c>
      <c r="H16" s="37">
        <f>IFERROR(__xludf.DUMMYFUNCTION("""COMPUTED_VALUE"""),2.0)</f>
        <v>2</v>
      </c>
    </row>
    <row r="17" ht="15.75" customHeight="1">
      <c r="B17" s="37">
        <f>IFERROR(__xludf.DUMMYFUNCTION("""COMPUTED_VALUE"""),11.0)</f>
        <v>11</v>
      </c>
      <c r="C17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7" s="6" t="str">
        <f>IFERROR(__xludf.DUMMYFUNCTION("""COMPUTED_VALUE"""),"Unidad 1 Fundamentos de Business Intelligence y Análisis Multidimensional")</f>
        <v>Unidad 1 Fundamentos de Business Intelligence y Análisis Multidimensional</v>
      </c>
      <c r="E17" s="6" t="str">
        <f>IFERROR(__xludf.DUMMYFUNCTION("""COMPUTED_VALUE"""),"Diseño y optimización de cubos multidimensionales")</f>
        <v>Diseño y optimización de cubos multidimensionales</v>
      </c>
      <c r="F17" s="6" t="str">
        <f>IFERROR(__xludf.DUMMYFUNCTION("""COMPUTED_VALUE"""),"Modelos Estrella, Copo de Nieve, Constelación")</f>
        <v>Modelos Estrella, Copo de Nieve, Constelación</v>
      </c>
      <c r="G17" s="37" t="str">
        <f>IFERROR(__xludf.DUMMYFUNCTION("""COMPUTED_VALUE"""),"Julio")</f>
        <v>Julio</v>
      </c>
      <c r="H17" s="37">
        <f>IFERROR(__xludf.DUMMYFUNCTION("""COMPUTED_VALUE"""),2.0)</f>
        <v>2</v>
      </c>
    </row>
    <row r="18" ht="15.75" customHeight="1">
      <c r="B18" s="37">
        <f>IFERROR(__xludf.DUMMYFUNCTION("""COMPUTED_VALUE"""),12.0)</f>
        <v>12</v>
      </c>
      <c r="C18" s="6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D18" s="6" t="str">
        <f>IFERROR(__xludf.DUMMYFUNCTION("""COMPUTED_VALUE"""),"Unidad 1 Fundamentos de Business Intelligence y Análisis Multidimensional")</f>
        <v>Unidad 1 Fundamentos de Business Intelligence y Análisis Multidimensional</v>
      </c>
      <c r="E18" s="6" t="str">
        <f>IFERROR(__xludf.DUMMYFUNCTION("""COMPUTED_VALUE"""),"Diseño y optimización de cubos multidimensionales")</f>
        <v>Diseño y optimización de cubos multidimensionales</v>
      </c>
      <c r="F18" s="6" t="str">
        <f>IFERROR(__xludf.DUMMYFUNCTION("""COMPUTED_VALUE"""),"Optimización de cubos multidimensionales")</f>
        <v>Optimización de cubos multidimensionales</v>
      </c>
      <c r="G18" s="37" t="str">
        <f>IFERROR(__xludf.DUMMYFUNCTION("""COMPUTED_VALUE"""),"Julio")</f>
        <v>Julio</v>
      </c>
      <c r="H18" s="37">
        <f>IFERROR(__xludf.DUMMYFUNCTION("""COMPUTED_VALUE"""),2.0)</f>
        <v>2</v>
      </c>
    </row>
    <row r="19" ht="15.75" customHeight="1">
      <c r="B19" s="37">
        <f>IFERROR(__xludf.DUMMYFUNCTION("""COMPUTED_VALUE"""),13.0)</f>
        <v>13</v>
      </c>
      <c r="C19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19" s="6" t="str">
        <f>IFERROR(__xludf.DUMMYFUNCTION("""COMPUTED_VALUE"""),"Unidad 2 Procesos ETL y Modelado de Datos para Análisis OLAP")</f>
        <v>Unidad 2 Procesos ETL y Modelado de Datos para Análisis OLAP</v>
      </c>
      <c r="E19" s="6" t="str">
        <f>IFERROR(__xludf.DUMMYFUNCTION("""COMPUTED_VALUE"""),"Fundamentos del proceso ETL y su aplicación en OLAP")</f>
        <v>Fundamentos del proceso ETL y su aplicación en OLAP</v>
      </c>
      <c r="F19" s="6" t="str">
        <f>IFERROR(__xludf.DUMMYFUNCTION("""COMPUTED_VALUE"""),"¿Qué es ETL?")</f>
        <v>¿Qué es ETL?</v>
      </c>
      <c r="G19" s="37" t="str">
        <f>IFERROR(__xludf.DUMMYFUNCTION("""COMPUTED_VALUE"""),"Julio")</f>
        <v>Julio</v>
      </c>
      <c r="H19" s="37">
        <f>IFERROR(__xludf.DUMMYFUNCTION("""COMPUTED_VALUE"""),3.0)</f>
        <v>3</v>
      </c>
    </row>
    <row r="20" ht="15.75" customHeight="1">
      <c r="B20" s="37">
        <f>IFERROR(__xludf.DUMMYFUNCTION("""COMPUTED_VALUE"""),14.0)</f>
        <v>14</v>
      </c>
      <c r="C20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0" s="6" t="str">
        <f>IFERROR(__xludf.DUMMYFUNCTION("""COMPUTED_VALUE"""),"Unidad 2 Procesos ETL y Modelado de Datos para Análisis OLAP")</f>
        <v>Unidad 2 Procesos ETL y Modelado de Datos para Análisis OLAP</v>
      </c>
      <c r="E20" s="6" t="str">
        <f>IFERROR(__xludf.DUMMYFUNCTION("""COMPUTED_VALUE"""),"Fundamentos del proceso ETL y su aplicación en OLAP")</f>
        <v>Fundamentos del proceso ETL y su aplicación en OLAP</v>
      </c>
      <c r="F20" s="6" t="str">
        <f>IFERROR(__xludf.DUMMYFUNCTION("""COMPUTED_VALUE"""),"Fases del proceso ETL")</f>
        <v>Fases del proceso ETL</v>
      </c>
      <c r="G20" s="37" t="str">
        <f>IFERROR(__xludf.DUMMYFUNCTION("""COMPUTED_VALUE"""),"Julio")</f>
        <v>Julio</v>
      </c>
      <c r="H20" s="37">
        <f>IFERROR(__xludf.DUMMYFUNCTION("""COMPUTED_VALUE"""),3.0)</f>
        <v>3</v>
      </c>
    </row>
    <row r="21" ht="15.75" customHeight="1">
      <c r="B21" s="37">
        <f>IFERROR(__xludf.DUMMYFUNCTION("""COMPUTED_VALUE"""),15.0)</f>
        <v>15</v>
      </c>
      <c r="C21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1" s="6" t="str">
        <f>IFERROR(__xludf.DUMMYFUNCTION("""COMPUTED_VALUE"""),"Unidad 2 Procesos ETL y Modelado de Datos para Análisis OLAP")</f>
        <v>Unidad 2 Procesos ETL y Modelado de Datos para Análisis OLAP</v>
      </c>
      <c r="E21" s="6" t="str">
        <f>IFERROR(__xludf.DUMMYFUNCTION("""COMPUTED_VALUE"""),"Fundamentos del proceso ETL y su aplicación en OLAP")</f>
        <v>Fundamentos del proceso ETL y su aplicación en OLAP</v>
      </c>
      <c r="F21" s="6" t="str">
        <f>IFERROR(__xludf.DUMMYFUNCTION("""COMPUTED_VALUE"""),"Extracción, Transformación y Carga")</f>
        <v>Extracción, Transformación y Carga</v>
      </c>
      <c r="G21" s="37" t="str">
        <f>IFERROR(__xludf.DUMMYFUNCTION("""COMPUTED_VALUE"""),"Agosto")</f>
        <v>Agosto</v>
      </c>
      <c r="H21" s="37">
        <f>IFERROR(__xludf.DUMMYFUNCTION("""COMPUTED_VALUE"""),3.0)</f>
        <v>3</v>
      </c>
    </row>
    <row r="22" ht="15.75" customHeight="1">
      <c r="B22" s="37">
        <f>IFERROR(__xludf.DUMMYFUNCTION("""COMPUTED_VALUE"""),16.0)</f>
        <v>16</v>
      </c>
      <c r="C22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2" s="6" t="str">
        <f>IFERROR(__xludf.DUMMYFUNCTION("""COMPUTED_VALUE"""),"Unidad 2 Procesos ETL y Modelado de Datos para Análisis OLAP")</f>
        <v>Unidad 2 Procesos ETL y Modelado de Datos para Análisis OLAP</v>
      </c>
      <c r="E22" s="6" t="str">
        <f>IFERROR(__xludf.DUMMYFUNCTION("""COMPUTED_VALUE"""),"Fundamentos del proceso ETL y su aplicación en OLAP")</f>
        <v>Fundamentos del proceso ETL y su aplicación en OLAP</v>
      </c>
      <c r="F22" s="6" t="str">
        <f>IFERROR(__xludf.DUMMYFUNCTION("""COMPUTED_VALUE"""),"Características del ETL")</f>
        <v>Características del ETL</v>
      </c>
      <c r="G22" s="37" t="str">
        <f>IFERROR(__xludf.DUMMYFUNCTION("""COMPUTED_VALUE"""),"Agosto")</f>
        <v>Agosto</v>
      </c>
      <c r="H22" s="37">
        <f>IFERROR(__xludf.DUMMYFUNCTION("""COMPUTED_VALUE"""),3.0)</f>
        <v>3</v>
      </c>
    </row>
    <row r="23" ht="15.75" customHeight="1">
      <c r="B23" s="37">
        <f>IFERROR(__xludf.DUMMYFUNCTION("""COMPUTED_VALUE"""),17.0)</f>
        <v>17</v>
      </c>
      <c r="C23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3" s="6" t="str">
        <f>IFERROR(__xludf.DUMMYFUNCTION("""COMPUTED_VALUE"""),"Unidad 2 Procesos ETL y Modelado de Datos para Análisis OLAP")</f>
        <v>Unidad 2 Procesos ETL y Modelado de Datos para Análisis OLAP</v>
      </c>
      <c r="E23" s="6" t="str">
        <f>IFERROR(__xludf.DUMMYFUNCTION("""COMPUTED_VALUE"""),"Fundamentos del proceso ETL y su aplicación en OLAP")</f>
        <v>Fundamentos del proceso ETL y su aplicación en OLAP</v>
      </c>
      <c r="F23" s="6" t="str">
        <f>IFERROR(__xludf.DUMMYFUNCTION("""COMPUTED_VALUE"""),"Rol del ETL en OLAP")</f>
        <v>Rol del ETL en OLAP</v>
      </c>
      <c r="G23" s="37" t="str">
        <f>IFERROR(__xludf.DUMMYFUNCTION("""COMPUTED_VALUE"""),"Agosto")</f>
        <v>Agosto</v>
      </c>
      <c r="H23" s="37">
        <f>IFERROR(__xludf.DUMMYFUNCTION("""COMPUTED_VALUE"""),3.0)</f>
        <v>3</v>
      </c>
    </row>
    <row r="24" ht="15.75" customHeight="1">
      <c r="B24" s="37">
        <f>IFERROR(__xludf.DUMMYFUNCTION("""COMPUTED_VALUE"""),18.0)</f>
        <v>18</v>
      </c>
      <c r="C24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4" s="6" t="str">
        <f>IFERROR(__xludf.DUMMYFUNCTION("""COMPUTED_VALUE"""),"Unidad 2 Procesos ETL y Modelado de Datos para Análisis OLAP")</f>
        <v>Unidad 2 Procesos ETL y Modelado de Datos para Análisis OLAP</v>
      </c>
      <c r="E24" s="6" t="str">
        <f>IFERROR(__xludf.DUMMYFUNCTION("""COMPUTED_VALUE"""),"Fundamentos del proceso ETL y su aplicación en OLAP")</f>
        <v>Fundamentos del proceso ETL y su aplicación en OLAP</v>
      </c>
      <c r="F24" s="6" t="str">
        <f>IFERROR(__xludf.DUMMYFUNCTION("""COMPUTED_VALUE"""),"Desafíos del proceso ETL")</f>
        <v>Desafíos del proceso ETL</v>
      </c>
      <c r="G24" s="37" t="str">
        <f>IFERROR(__xludf.DUMMYFUNCTION("""COMPUTED_VALUE"""),"Agosto")</f>
        <v>Agosto</v>
      </c>
      <c r="H24" s="37">
        <f>IFERROR(__xludf.DUMMYFUNCTION("""COMPUTED_VALUE"""),3.0)</f>
        <v>3</v>
      </c>
    </row>
    <row r="25" ht="15.75" customHeight="1">
      <c r="B25" s="37">
        <f>IFERROR(__xludf.DUMMYFUNCTION("""COMPUTED_VALUE"""),19.0)</f>
        <v>19</v>
      </c>
      <c r="C25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5" s="6" t="str">
        <f>IFERROR(__xludf.DUMMYFUNCTION("""COMPUTED_VALUE"""),"Unidad 2 Procesos ETL y Modelado de Datos para Análisis OLAP")</f>
        <v>Unidad 2 Procesos ETL y Modelado de Datos para Análisis OLAP</v>
      </c>
      <c r="E25" s="6" t="str">
        <f>IFERROR(__xludf.DUMMYFUNCTION("""COMPUTED_VALUE"""),"Herramientas ETL y tendencias modernas")</f>
        <v>Herramientas ETL y tendencias modernas</v>
      </c>
      <c r="F25" s="6" t="str">
        <f>IFERROR(__xludf.DUMMYFUNCTION("""COMPUTED_VALUE"""),"Tipos de herramientas ETL")</f>
        <v>Tipos de herramientas ETL</v>
      </c>
      <c r="G25" s="37" t="str">
        <f>IFERROR(__xludf.DUMMYFUNCTION("""COMPUTED_VALUE"""),"Agosto")</f>
        <v>Agosto</v>
      </c>
      <c r="H25" s="37">
        <f>IFERROR(__xludf.DUMMYFUNCTION("""COMPUTED_VALUE"""),4.0)</f>
        <v>4</v>
      </c>
    </row>
    <row r="26" ht="15.75" customHeight="1">
      <c r="B26" s="37">
        <f>IFERROR(__xludf.DUMMYFUNCTION("""COMPUTED_VALUE"""),20.0)</f>
        <v>20</v>
      </c>
      <c r="C26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6" s="6" t="str">
        <f>IFERROR(__xludf.DUMMYFUNCTION("""COMPUTED_VALUE"""),"Unidad 2 Procesos ETL y Modelado de Datos para Análisis OLAP")</f>
        <v>Unidad 2 Procesos ETL y Modelado de Datos para Análisis OLAP</v>
      </c>
      <c r="E26" s="6" t="str">
        <f>IFERROR(__xludf.DUMMYFUNCTION("""COMPUTED_VALUE"""),"Herramientas ETL y tendencias modernas")</f>
        <v>Herramientas ETL y tendencias modernas</v>
      </c>
      <c r="F26" s="6" t="str">
        <f>IFERROR(__xludf.DUMMYFUNCTION("""COMPUTED_VALUE"""),"Ejemplos de herramientas comerciales y Open Source")</f>
        <v>Ejemplos de herramientas comerciales y Open Source</v>
      </c>
      <c r="G26" s="37" t="str">
        <f>IFERROR(__xludf.DUMMYFUNCTION("""COMPUTED_VALUE"""),"Agosto")</f>
        <v>Agosto</v>
      </c>
      <c r="H26" s="37">
        <f>IFERROR(__xludf.DUMMYFUNCTION("""COMPUTED_VALUE"""),4.0)</f>
        <v>4</v>
      </c>
    </row>
    <row r="27" ht="15.75" customHeight="1">
      <c r="B27" s="37">
        <f>IFERROR(__xludf.DUMMYFUNCTION("""COMPUTED_VALUE"""),21.0)</f>
        <v>21</v>
      </c>
      <c r="C27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7" s="6" t="str">
        <f>IFERROR(__xludf.DUMMYFUNCTION("""COMPUTED_VALUE"""),"Unidad 2 Procesos ETL y Modelado de Datos para Análisis OLAP")</f>
        <v>Unidad 2 Procesos ETL y Modelado de Datos para Análisis OLAP</v>
      </c>
      <c r="E27" s="6" t="str">
        <f>IFERROR(__xludf.DUMMYFUNCTION("""COMPUTED_VALUE"""),"Herramientas ETL y tendencias modernas")</f>
        <v>Herramientas ETL y tendencias modernas</v>
      </c>
      <c r="F27" s="6" t="str">
        <f>IFERROR(__xludf.DUMMYFUNCTION("""COMPUTED_VALUE"""),"Herramientas ETL en la nube")</f>
        <v>Herramientas ETL en la nube</v>
      </c>
      <c r="G27" s="37" t="str">
        <f>IFERROR(__xludf.DUMMYFUNCTION("""COMPUTED_VALUE"""),"Agosto")</f>
        <v>Agosto</v>
      </c>
      <c r="H27" s="37">
        <f>IFERROR(__xludf.DUMMYFUNCTION("""COMPUTED_VALUE"""),4.0)</f>
        <v>4</v>
      </c>
    </row>
    <row r="28" ht="15.75" customHeight="1">
      <c r="B28" s="37">
        <f>IFERROR(__xludf.DUMMYFUNCTION("""COMPUTED_VALUE"""),22.0)</f>
        <v>22</v>
      </c>
      <c r="C28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8" s="6" t="str">
        <f>IFERROR(__xludf.DUMMYFUNCTION("""COMPUTED_VALUE"""),"Unidad 2 Procesos ETL y Modelado de Datos para Análisis OLAP")</f>
        <v>Unidad 2 Procesos ETL y Modelado de Datos para Análisis OLAP</v>
      </c>
      <c r="E28" s="6" t="str">
        <f>IFERROR(__xludf.DUMMYFUNCTION("""COMPUTED_VALUE"""),"Herramientas ETL y tendencias modernas")</f>
        <v>Herramientas ETL y tendencias modernas</v>
      </c>
      <c r="F28" s="6" t="str">
        <f>IFERROR(__xludf.DUMMYFUNCTION("""COMPUTED_VALUE"""),"Criterios de selección")</f>
        <v>Criterios de selección</v>
      </c>
      <c r="G28" s="37" t="str">
        <f>IFERROR(__xludf.DUMMYFUNCTION("""COMPUTED_VALUE"""),"Agosto")</f>
        <v>Agosto</v>
      </c>
      <c r="H28" s="37">
        <f>IFERROR(__xludf.DUMMYFUNCTION("""COMPUTED_VALUE"""),4.0)</f>
        <v>4</v>
      </c>
    </row>
    <row r="29" ht="15.75" customHeight="1">
      <c r="B29" s="37">
        <f>IFERROR(__xludf.DUMMYFUNCTION("""COMPUTED_VALUE"""),23.0)</f>
        <v>23</v>
      </c>
      <c r="C29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29" s="6" t="str">
        <f>IFERROR(__xludf.DUMMYFUNCTION("""COMPUTED_VALUE"""),"Unidad 2 Procesos ETL y Modelado de Datos para Análisis OLAP")</f>
        <v>Unidad 2 Procesos ETL y Modelado de Datos para Análisis OLAP</v>
      </c>
      <c r="E29" s="6" t="str">
        <f>IFERROR(__xludf.DUMMYFUNCTION("""COMPUTED_VALUE"""),"Herramientas ETL y tendencias modernas")</f>
        <v>Herramientas ETL y tendencias modernas</v>
      </c>
      <c r="F29" s="6" t="str">
        <f>IFERROR(__xludf.DUMMYFUNCTION("""COMPUTED_VALUE"""),"Tendencias actuales")</f>
        <v>Tendencias actuales</v>
      </c>
      <c r="G29" s="37" t="str">
        <f>IFERROR(__xludf.DUMMYFUNCTION("""COMPUTED_VALUE"""),"Agosto")</f>
        <v>Agosto</v>
      </c>
      <c r="H29" s="37">
        <f>IFERROR(__xludf.DUMMYFUNCTION("""COMPUTED_VALUE"""),4.0)</f>
        <v>4</v>
      </c>
    </row>
    <row r="30" ht="15.75" customHeight="1">
      <c r="B30" s="37">
        <f>IFERROR(__xludf.DUMMYFUNCTION("""COMPUTED_VALUE"""),24.0)</f>
        <v>24</v>
      </c>
      <c r="C30" s="6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D30" s="6" t="str">
        <f>IFERROR(__xludf.DUMMYFUNCTION("""COMPUTED_VALUE"""),"Unidad 2 Procesos ETL y Modelado de Datos para Análisis OLAP")</f>
        <v>Unidad 2 Procesos ETL y Modelado de Datos para Análisis OLAP</v>
      </c>
      <c r="E30" s="6" t="str">
        <f>IFERROR(__xludf.DUMMYFUNCTION("""COMPUTED_VALUE"""),"Herramientas ETL y tendencias modernas")</f>
        <v>Herramientas ETL y tendencias modernas</v>
      </c>
      <c r="F30" s="6" t="str">
        <f>IFERROR(__xludf.DUMMYFUNCTION("""COMPUTED_VALUE"""),"Casos de uso reales")</f>
        <v>Casos de uso reales</v>
      </c>
      <c r="G30" s="37" t="str">
        <f>IFERROR(__xludf.DUMMYFUNCTION("""COMPUTED_VALUE"""),"Agosto")</f>
        <v>Agosto</v>
      </c>
      <c r="H30" s="37">
        <f>IFERROR(__xludf.DUMMYFUNCTION("""COMPUTED_VALUE"""),4.0)</f>
        <v>4</v>
      </c>
    </row>
    <row r="31" ht="15.75" customHeight="1">
      <c r="B31" s="37">
        <f>IFERROR(__xludf.DUMMYFUNCTION("""COMPUTED_VALUE"""),25.0)</f>
        <v>25</v>
      </c>
      <c r="C31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1" s="6" t="str">
        <f>IFERROR(__xludf.DUMMYFUNCTION("""COMPUTED_VALUE"""),"Unidad 3 Arquitectura de Datos Modernos y Herramientas BI Empresariales")</f>
        <v>Unidad 3 Arquitectura de Datos Modernos y Herramientas BI Empresariales</v>
      </c>
      <c r="E31" s="6" t="str">
        <f>IFERROR(__xludf.DUMMYFUNCTION("""COMPUTED_VALUE"""),"Bases modernas y arquitectura Microsoft BI")</f>
        <v>Bases modernas y arquitectura Microsoft BI</v>
      </c>
      <c r="F31" s="6" t="str">
        <f>IFERROR(__xludf.DUMMYFUNCTION("""COMPUTED_VALUE"""),"Bases en memoria, columnares y MPP")</f>
        <v>Bases en memoria, columnares y MPP</v>
      </c>
      <c r="G31" s="37" t="str">
        <f>IFERROR(__xludf.DUMMYFUNCTION("""COMPUTED_VALUE"""),"Agosto")</f>
        <v>Agosto</v>
      </c>
      <c r="H31" s="37">
        <f>IFERROR(__xludf.DUMMYFUNCTION("""COMPUTED_VALUE"""),5.0)</f>
        <v>5</v>
      </c>
    </row>
    <row r="32" ht="15.75" customHeight="1">
      <c r="B32" s="37">
        <f>IFERROR(__xludf.DUMMYFUNCTION("""COMPUTED_VALUE"""),26.0)</f>
        <v>26</v>
      </c>
      <c r="C32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2" s="6" t="str">
        <f>IFERROR(__xludf.DUMMYFUNCTION("""COMPUTED_VALUE"""),"Unidad 3 Arquitectura de Datos Modernos y Herramientas BI Empresariales")</f>
        <v>Unidad 3 Arquitectura de Datos Modernos y Herramientas BI Empresariales</v>
      </c>
      <c r="E32" s="6" t="str">
        <f>IFERROR(__xludf.DUMMYFUNCTION("""COMPUTED_VALUE"""),"Bases modernas y arquitectura Microsoft BI")</f>
        <v>Bases modernas y arquitectura Microsoft BI</v>
      </c>
      <c r="F32" s="6" t="str">
        <f>IFERROR(__xludf.DUMMYFUNCTION("""COMPUTED_VALUE"""),"Appliances analíticos")</f>
        <v>Appliances analíticos</v>
      </c>
      <c r="G32" s="37" t="str">
        <f>IFERROR(__xludf.DUMMYFUNCTION("""COMPUTED_VALUE"""),"Agosto")</f>
        <v>Agosto</v>
      </c>
      <c r="H32" s="37">
        <f>IFERROR(__xludf.DUMMYFUNCTION("""COMPUTED_VALUE"""),5.0)</f>
        <v>5</v>
      </c>
    </row>
    <row r="33" ht="15.75" customHeight="1">
      <c r="B33" s="37">
        <f>IFERROR(__xludf.DUMMYFUNCTION("""COMPUTED_VALUE"""),27.0)</f>
        <v>27</v>
      </c>
      <c r="C33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3" s="6" t="str">
        <f>IFERROR(__xludf.DUMMYFUNCTION("""COMPUTED_VALUE"""),"Unidad 3 Arquitectura de Datos Modernos y Herramientas BI Empresariales")</f>
        <v>Unidad 3 Arquitectura de Datos Modernos y Herramientas BI Empresariales</v>
      </c>
      <c r="E33" s="6" t="str">
        <f>IFERROR(__xludf.DUMMYFUNCTION("""COMPUTED_VALUE"""),"Bases modernas y arquitectura Microsoft BI")</f>
        <v>Bases modernas y arquitectura Microsoft BI</v>
      </c>
      <c r="F33" s="6" t="str">
        <f>IFERROR(__xludf.DUMMYFUNCTION("""COMPUTED_VALUE"""),"Arquitectura de BI con Microsoft")</f>
        <v>Arquitectura de BI con Microsoft</v>
      </c>
      <c r="G33" s="37" t="str">
        <f>IFERROR(__xludf.DUMMYFUNCTION("""COMPUTED_VALUE"""),"Agosto")</f>
        <v>Agosto</v>
      </c>
      <c r="H33" s="37">
        <f>IFERROR(__xludf.DUMMYFUNCTION("""COMPUTED_VALUE"""),5.0)</f>
        <v>5</v>
      </c>
    </row>
    <row r="34" ht="15.75" customHeight="1">
      <c r="B34" s="37">
        <f>IFERROR(__xludf.DUMMYFUNCTION("""COMPUTED_VALUE"""),28.0)</f>
        <v>28</v>
      </c>
      <c r="C34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4" s="6" t="str">
        <f>IFERROR(__xludf.DUMMYFUNCTION("""COMPUTED_VALUE"""),"Unidad 3 Arquitectura de Datos Modernos y Herramientas BI Empresariales")</f>
        <v>Unidad 3 Arquitectura de Datos Modernos y Herramientas BI Empresariales</v>
      </c>
      <c r="E34" s="6" t="str">
        <f>IFERROR(__xludf.DUMMYFUNCTION("""COMPUTED_VALUE"""),"Bases modernas y arquitectura Microsoft BI")</f>
        <v>Bases modernas y arquitectura Microsoft BI</v>
      </c>
      <c r="F34" s="6" t="str">
        <f>IFERROR(__xludf.DUMMYFUNCTION("""COMPUTED_VALUE"""),"Herramientas Microsoft BI (SSMS, SSIS, SSAS, SSRS)")</f>
        <v>Herramientas Microsoft BI (SSMS, SSIS, SSAS, SSRS)</v>
      </c>
      <c r="G34" s="37" t="str">
        <f>IFERROR(__xludf.DUMMYFUNCTION("""COMPUTED_VALUE"""),"Agosto")</f>
        <v>Agosto</v>
      </c>
      <c r="H34" s="37">
        <f>IFERROR(__xludf.DUMMYFUNCTION("""COMPUTED_VALUE"""),5.0)</f>
        <v>5</v>
      </c>
    </row>
    <row r="35" ht="15.75" customHeight="1">
      <c r="B35" s="37">
        <f>IFERROR(__xludf.DUMMYFUNCTION("""COMPUTED_VALUE"""),29.0)</f>
        <v>29</v>
      </c>
      <c r="C35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5" s="6" t="str">
        <f>IFERROR(__xludf.DUMMYFUNCTION("""COMPUTED_VALUE"""),"Unidad 3 Arquitectura de Datos Modernos y Herramientas BI Empresariales")</f>
        <v>Unidad 3 Arquitectura de Datos Modernos y Herramientas BI Empresariales</v>
      </c>
      <c r="E35" s="6" t="str">
        <f>IFERROR(__xludf.DUMMYFUNCTION("""COMPUTED_VALUE"""),"Bases modernas y arquitectura Microsoft BI")</f>
        <v>Bases modernas y arquitectura Microsoft BI</v>
      </c>
      <c r="F35" s="6" t="str">
        <f>IFERROR(__xludf.DUMMYFUNCTION("""COMPUTED_VALUE"""),"Diferencias entre SSIS, SSAS y SSRS")</f>
        <v>Diferencias entre SSIS, SSAS y SSRS</v>
      </c>
      <c r="G35" s="37" t="str">
        <f>IFERROR(__xludf.DUMMYFUNCTION("""COMPUTED_VALUE"""),"Agosto")</f>
        <v>Agosto</v>
      </c>
      <c r="H35" s="37">
        <f>IFERROR(__xludf.DUMMYFUNCTION("""COMPUTED_VALUE"""),5.0)</f>
        <v>5</v>
      </c>
    </row>
    <row r="36" ht="15.75" customHeight="1">
      <c r="B36" s="37">
        <f>IFERROR(__xludf.DUMMYFUNCTION("""COMPUTED_VALUE"""),30.0)</f>
        <v>30</v>
      </c>
      <c r="C36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6" s="6" t="str">
        <f>IFERROR(__xludf.DUMMYFUNCTION("""COMPUTED_VALUE"""),"Unidad 3 Arquitectura de Datos Modernos y Herramientas BI Empresariales")</f>
        <v>Unidad 3 Arquitectura de Datos Modernos y Herramientas BI Empresariales</v>
      </c>
      <c r="E36" s="6" t="str">
        <f>IFERROR(__xludf.DUMMYFUNCTION("""COMPUTED_VALUE"""),"Microsoft BI + Cloud y Seguridad")</f>
        <v>Microsoft BI + Cloud y Seguridad</v>
      </c>
      <c r="F36" s="6" t="str">
        <f>IFERROR(__xludf.DUMMYFUNCTION("""COMPUTED_VALUE"""),"Introducción a SSIS")</f>
        <v>Introducción a SSIS</v>
      </c>
      <c r="G36" s="37" t="str">
        <f>IFERROR(__xludf.DUMMYFUNCTION("""COMPUTED_VALUE"""),"Agosto")</f>
        <v>Agosto</v>
      </c>
      <c r="H36" s="37">
        <f>IFERROR(__xludf.DUMMYFUNCTION("""COMPUTED_VALUE"""),6.0)</f>
        <v>6</v>
      </c>
    </row>
    <row r="37" ht="15.75" customHeight="1">
      <c r="B37" s="37">
        <f>IFERROR(__xludf.DUMMYFUNCTION("""COMPUTED_VALUE"""),31.0)</f>
        <v>31</v>
      </c>
      <c r="C37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7" s="6" t="str">
        <f>IFERROR(__xludf.DUMMYFUNCTION("""COMPUTED_VALUE"""),"Unidad 3 Arquitectura de Datos Modernos y Herramientas BI Empresariales")</f>
        <v>Unidad 3 Arquitectura de Datos Modernos y Herramientas BI Empresariales</v>
      </c>
      <c r="E37" s="6" t="str">
        <f>IFERROR(__xludf.DUMMYFUNCTION("""COMPUTED_VALUE"""),"Microsoft BI + Cloud y Seguridad")</f>
        <v>Microsoft BI + Cloud y Seguridad</v>
      </c>
      <c r="F37" s="6" t="str">
        <f>IFERROR(__xludf.DUMMYFUNCTION("""COMPUTED_VALUE"""),"Virtualización y federación de datos")</f>
        <v>Virtualización y federación de datos</v>
      </c>
      <c r="G37" s="37" t="str">
        <f>IFERROR(__xludf.DUMMYFUNCTION("""COMPUTED_VALUE"""),"Agosto")</f>
        <v>Agosto</v>
      </c>
      <c r="H37" s="37">
        <f>IFERROR(__xludf.DUMMYFUNCTION("""COMPUTED_VALUE"""),6.0)</f>
        <v>6</v>
      </c>
    </row>
    <row r="38" ht="15.75" customHeight="1">
      <c r="B38" s="37">
        <f>IFERROR(__xludf.DUMMYFUNCTION("""COMPUTED_VALUE"""),32.0)</f>
        <v>32</v>
      </c>
      <c r="C38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8" s="6" t="str">
        <f>IFERROR(__xludf.DUMMYFUNCTION("""COMPUTED_VALUE"""),"Unidad 3 Arquitectura de Datos Modernos y Herramientas BI Empresariales")</f>
        <v>Unidad 3 Arquitectura de Datos Modernos y Herramientas BI Empresariales</v>
      </c>
      <c r="E38" s="6" t="str">
        <f>IFERROR(__xludf.DUMMYFUNCTION("""COMPUTED_VALUE"""),"Microsoft BI + Cloud y Seguridad")</f>
        <v>Microsoft BI + Cloud y Seguridad</v>
      </c>
      <c r="F38" s="6" t="str">
        <f>IFERROR(__xludf.DUMMYFUNCTION("""COMPUTED_VALUE"""),"IAAS, PAAS, SAAS en BI")</f>
        <v>IAAS, PAAS, SAAS en BI</v>
      </c>
      <c r="G38" s="37" t="str">
        <f>IFERROR(__xludf.DUMMYFUNCTION("""COMPUTED_VALUE"""),"Agosto")</f>
        <v>Agosto</v>
      </c>
      <c r="H38" s="37">
        <f>IFERROR(__xludf.DUMMYFUNCTION("""COMPUTED_VALUE"""),6.0)</f>
        <v>6</v>
      </c>
    </row>
    <row r="39" ht="15.75" customHeight="1">
      <c r="B39" s="37">
        <f>IFERROR(__xludf.DUMMYFUNCTION("""COMPUTED_VALUE"""),33.0)</f>
        <v>33</v>
      </c>
      <c r="C39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39" s="6" t="str">
        <f>IFERROR(__xludf.DUMMYFUNCTION("""COMPUTED_VALUE"""),"Unidad 3 Arquitectura de Datos Modernos y Herramientas BI Empresariales")</f>
        <v>Unidad 3 Arquitectura de Datos Modernos y Herramientas BI Empresariales</v>
      </c>
      <c r="E39" s="6" t="str">
        <f>IFERROR(__xludf.DUMMYFUNCTION("""COMPUTED_VALUE"""),"Microsoft BI + Cloud y Seguridad")</f>
        <v>Microsoft BI + Cloud y Seguridad</v>
      </c>
      <c r="F39" s="6" t="str">
        <f>IFERROR(__xludf.DUMMYFUNCTION("""COMPUTED_VALUE"""),"Seguridad en la nube")</f>
        <v>Seguridad en la nube</v>
      </c>
      <c r="G39" s="37" t="str">
        <f>IFERROR(__xludf.DUMMYFUNCTION("""COMPUTED_VALUE"""),"Agosto")</f>
        <v>Agosto</v>
      </c>
      <c r="H39" s="37">
        <f>IFERROR(__xludf.DUMMYFUNCTION("""COMPUTED_VALUE"""),6.0)</f>
        <v>6</v>
      </c>
    </row>
    <row r="40" ht="15.75" customHeight="1">
      <c r="B40" s="37">
        <f>IFERROR(__xludf.DUMMYFUNCTION("""COMPUTED_VALUE"""),34.0)</f>
        <v>34</v>
      </c>
      <c r="C40" s="6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D40" s="6" t="str">
        <f>IFERROR(__xludf.DUMMYFUNCTION("""COMPUTED_VALUE"""),"Unidad 3 Arquitectura de Datos Modernos y Herramientas BI Empresariales")</f>
        <v>Unidad 3 Arquitectura de Datos Modernos y Herramientas BI Empresariales</v>
      </c>
      <c r="E40" s="6" t="str">
        <f>IFERROR(__xludf.DUMMYFUNCTION("""COMPUTED_VALUE"""),"Microsoft BI + Cloud y Seguridad")</f>
        <v>Microsoft BI + Cloud y Seguridad</v>
      </c>
      <c r="F40" s="6" t="str">
        <f>IFERROR(__xludf.DUMMYFUNCTION("""COMPUTED_VALUE"""),"Nubes híbridas y monitoreo")</f>
        <v>Nubes híbridas y monitoreo</v>
      </c>
      <c r="G40" s="37" t="str">
        <f>IFERROR(__xludf.DUMMYFUNCTION("""COMPUTED_VALUE"""),"Agosto")</f>
        <v>Agosto</v>
      </c>
      <c r="H40" s="37">
        <f>IFERROR(__xludf.DUMMYFUNCTION("""COMPUTED_VALUE"""),6.0)</f>
        <v>6</v>
      </c>
    </row>
    <row r="41" ht="15.75" customHeight="1">
      <c r="B41" s="37">
        <f>IFERROR(__xludf.DUMMYFUNCTION("""COMPUTED_VALUE"""),35.0)</f>
        <v>35</v>
      </c>
      <c r="C41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1" s="6" t="str">
        <f>IFERROR(__xludf.DUMMYFUNCTION("""COMPUTED_VALUE"""),"Unidad 4 Visualización Analítica, KPI y Scorecards en Plataformas BI")</f>
        <v>Unidad 4 Visualización Analítica, KPI y Scorecards en Plataformas BI</v>
      </c>
      <c r="E41" s="6" t="str">
        <f>IFERROR(__xludf.DUMMYFUNCTION("""COMPUTED_VALUE"""),"Modelado multidimensional y KPIs con SSAS")</f>
        <v>Modelado multidimensional y KPIs con SSAS</v>
      </c>
      <c r="F41" s="6" t="str">
        <f>IFERROR(__xludf.DUMMYFUNCTION("""COMPUTED_VALUE"""),"Diseño de cubos OLAP con KPIs")</f>
        <v>Diseño de cubos OLAP con KPIs</v>
      </c>
      <c r="G41" s="37" t="str">
        <f>IFERROR(__xludf.DUMMYFUNCTION("""COMPUTED_VALUE"""),"Agosto")</f>
        <v>Agosto</v>
      </c>
      <c r="H41" s="37">
        <f>IFERROR(__xludf.DUMMYFUNCTION("""COMPUTED_VALUE"""),7.0)</f>
        <v>7</v>
      </c>
    </row>
    <row r="42" ht="15.75" customHeight="1">
      <c r="B42" s="37">
        <f>IFERROR(__xludf.DUMMYFUNCTION("""COMPUTED_VALUE"""),36.0)</f>
        <v>36</v>
      </c>
      <c r="C42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2" s="6" t="str">
        <f>IFERROR(__xludf.DUMMYFUNCTION("""COMPUTED_VALUE"""),"Unidad 4 Visualización Analítica, KPI y Scorecards en Plataformas BI")</f>
        <v>Unidad 4 Visualización Analítica, KPI y Scorecards en Plataformas BI</v>
      </c>
      <c r="E42" s="6" t="str">
        <f>IFERROR(__xludf.DUMMYFUNCTION("""COMPUTED_VALUE"""),"Modelado multidimensional y KPIs con SSAS")</f>
        <v>Modelado multidimensional y KPIs con SSAS</v>
      </c>
      <c r="F42" s="6" t="str">
        <f>IFERROR(__xludf.DUMMYFUNCTION("""COMPUTED_VALUE"""),"Modelos tabulares")</f>
        <v>Modelos tabulares</v>
      </c>
      <c r="G42" s="37" t="str">
        <f>IFERROR(__xludf.DUMMYFUNCTION("""COMPUTED_VALUE"""),"Agosto")</f>
        <v>Agosto</v>
      </c>
      <c r="H42" s="37">
        <f>IFERROR(__xludf.DUMMYFUNCTION("""COMPUTED_VALUE"""),7.0)</f>
        <v>7</v>
      </c>
    </row>
    <row r="43" ht="15.75" customHeight="1">
      <c r="B43" s="37">
        <f>IFERROR(__xludf.DUMMYFUNCTION("""COMPUTED_VALUE"""),37.0)</f>
        <v>37</v>
      </c>
      <c r="C43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3" s="6" t="str">
        <f>IFERROR(__xludf.DUMMYFUNCTION("""COMPUTED_VALUE"""),"Unidad 4 Visualización Analítica, KPI y Scorecards en Plataformas BI")</f>
        <v>Unidad 4 Visualización Analítica, KPI y Scorecards en Plataformas BI</v>
      </c>
      <c r="E43" s="6" t="str">
        <f>IFERROR(__xludf.DUMMYFUNCTION("""COMPUTED_VALUE"""),"Modelado multidimensional y KPIs con SSAS")</f>
        <v>Modelado multidimensional y KPIs con SSAS</v>
      </c>
      <c r="F43" s="6" t="str">
        <f>IFERROR(__xludf.DUMMYFUNCTION("""COMPUTED_VALUE"""),"Consultas con MDX y DAX")</f>
        <v>Consultas con MDX y DAX</v>
      </c>
      <c r="G43" s="37" t="str">
        <f>IFERROR(__xludf.DUMMYFUNCTION("""COMPUTED_VALUE"""),"Agosto")</f>
        <v>Agosto</v>
      </c>
      <c r="H43" s="37">
        <f>IFERROR(__xludf.DUMMYFUNCTION("""COMPUTED_VALUE"""),7.0)</f>
        <v>7</v>
      </c>
    </row>
    <row r="44" ht="15.75" customHeight="1">
      <c r="B44" s="37">
        <f>IFERROR(__xludf.DUMMYFUNCTION("""COMPUTED_VALUE"""),38.0)</f>
        <v>38</v>
      </c>
      <c r="C44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4" s="6" t="str">
        <f>IFERROR(__xludf.DUMMYFUNCTION("""COMPUTED_VALUE"""),"Unidad 4 Visualización Analítica, KPI y Scorecards en Plataformas BI")</f>
        <v>Unidad 4 Visualización Analítica, KPI y Scorecards en Plataformas BI</v>
      </c>
      <c r="E44" s="6" t="str">
        <f>IFERROR(__xludf.DUMMYFUNCTION("""COMPUTED_VALUE"""),"Modelado multidimensional y KPIs con SSAS")</f>
        <v>Modelado multidimensional y KPIs con SSAS</v>
      </c>
      <c r="F44" s="6" t="str">
        <f>IFERROR(__xludf.DUMMYFUNCTION("""COMPUTED_VALUE"""),"Rolling Forecast y análisis presupuestario")</f>
        <v>Rolling Forecast y análisis presupuestario</v>
      </c>
      <c r="G44" s="37" t="str">
        <f>IFERROR(__xludf.DUMMYFUNCTION("""COMPUTED_VALUE"""),"Agosto")</f>
        <v>Agosto</v>
      </c>
      <c r="H44" s="37">
        <f>IFERROR(__xludf.DUMMYFUNCTION("""COMPUTED_VALUE"""),7.0)</f>
        <v>7</v>
      </c>
    </row>
    <row r="45" ht="15.75" customHeight="1">
      <c r="B45" s="37">
        <f>IFERROR(__xludf.DUMMYFUNCTION("""COMPUTED_VALUE"""),39.0)</f>
        <v>39</v>
      </c>
      <c r="C45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5" s="6" t="str">
        <f>IFERROR(__xludf.DUMMYFUNCTION("""COMPUTED_VALUE"""),"Unidad 4 Visualización Analítica, KPI y Scorecards en Plataformas BI")</f>
        <v>Unidad 4 Visualización Analítica, KPI y Scorecards en Plataformas BI</v>
      </c>
      <c r="E45" s="6" t="str">
        <f>IFERROR(__xludf.DUMMYFUNCTION("""COMPUTED_VALUE"""),"Visualización con SSRS y Scorecards")</f>
        <v>Visualización con SSRS y Scorecards</v>
      </c>
      <c r="F45" s="6" t="str">
        <f>IFERROR(__xludf.DUMMYFUNCTION("""COMPUTED_VALUE"""),"Reportes con parámetros y filtros")</f>
        <v>Reportes con parámetros y filtros</v>
      </c>
      <c r="G45" s="37" t="str">
        <f>IFERROR(__xludf.DUMMYFUNCTION("""COMPUTED_VALUE"""),"Agosto")</f>
        <v>Agosto</v>
      </c>
      <c r="H45" s="37">
        <f>IFERROR(__xludf.DUMMYFUNCTION("""COMPUTED_VALUE"""),7.0)</f>
        <v>7</v>
      </c>
    </row>
    <row r="46" ht="15.75" customHeight="1">
      <c r="B46" s="37">
        <f>IFERROR(__xludf.DUMMYFUNCTION("""COMPUTED_VALUE"""),40.0)</f>
        <v>40</v>
      </c>
      <c r="C46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6" s="6" t="str">
        <f>IFERROR(__xludf.DUMMYFUNCTION("""COMPUTED_VALUE"""),"Unidad 4 Visualización Analítica, KPI y Scorecards en Plataformas BI")</f>
        <v>Unidad 4 Visualización Analítica, KPI y Scorecards en Plataformas BI</v>
      </c>
      <c r="E46" s="6" t="str">
        <f>IFERROR(__xludf.DUMMYFUNCTION("""COMPUTED_VALUE"""),"Visualización con SSRS y Scorecards")</f>
        <v>Visualización con SSRS y Scorecards</v>
      </c>
      <c r="F46" s="6" t="str">
        <f>IFERROR(__xludf.DUMMYFUNCTION("""COMPUTED_VALUE"""),"Semáforos y visualizaciones condicionales")</f>
        <v>Semáforos y visualizaciones condicionales</v>
      </c>
      <c r="G46" s="37" t="str">
        <f>IFERROR(__xludf.DUMMYFUNCTION("""COMPUTED_VALUE"""),"Agosto")</f>
        <v>Agosto</v>
      </c>
      <c r="H46" s="37">
        <f>IFERROR(__xludf.DUMMYFUNCTION("""COMPUTED_VALUE"""),7.0)</f>
        <v>7</v>
      </c>
    </row>
    <row r="47" ht="15.75" customHeight="1">
      <c r="B47" s="37">
        <f>IFERROR(__xludf.DUMMYFUNCTION("""COMPUTED_VALUE"""),41.0)</f>
        <v>41</v>
      </c>
      <c r="C47" s="6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D47" s="6" t="str">
        <f>IFERROR(__xludf.DUMMYFUNCTION("""COMPUTED_VALUE"""),"Unidad 4 Visualización Analítica, KPI y Scorecards en Plataformas BI")</f>
        <v>Unidad 4 Visualización Analítica, KPI y Scorecards en Plataformas BI</v>
      </c>
      <c r="E47" s="6" t="str">
        <f>IFERROR(__xludf.DUMMYFUNCTION("""COMPUTED_VALUE"""),"Visualización con SSRS y Scorecards")</f>
        <v>Visualización con SSRS y Scorecards</v>
      </c>
      <c r="F47" s="6" t="str">
        <f>IFERROR(__xludf.DUMMYFUNCTION("""COMPUTED_VALUE"""),"Balance Scorecard con SSRS o Power BI")</f>
        <v>Balance Scorecard con SSRS o Power BI</v>
      </c>
      <c r="G47" s="37" t="str">
        <f>IFERROR(__xludf.DUMMYFUNCTION("""COMPUTED_VALUE"""),"Agosto")</f>
        <v>Agosto</v>
      </c>
      <c r="H47" s="37">
        <f>IFERROR(__xludf.DUMMYFUNCTION("""COMPUTED_VALUE"""),7.0)</f>
        <v>7</v>
      </c>
    </row>
    <row r="48" ht="15.75" customHeight="1">
      <c r="B48" s="37">
        <f>IFERROR(__xludf.DUMMYFUNCTION("""COMPUTED_VALUE"""),43.0)</f>
        <v>43</v>
      </c>
      <c r="C48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48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48" s="6" t="str">
        <f>IFERROR(__xludf.DUMMYFUNCTION("""COMPUTED_VALUE"""),"Análisis y ecosistemas Big Data")</f>
        <v>Análisis y ecosistemas Big Data</v>
      </c>
      <c r="F48" s="6" t="str">
        <f>IFERROR(__xludf.DUMMYFUNCTION("""COMPUTED_VALUE"""),"¿Qué es Big Data? (4 V)")</f>
        <v>¿Qué es Big Data? (4 V)</v>
      </c>
      <c r="G48" s="37" t="str">
        <f>IFERROR(__xludf.DUMMYFUNCTION("""COMPUTED_VALUE"""),"Septiembre")</f>
        <v>Septiembre</v>
      </c>
      <c r="H48" s="37">
        <f>IFERROR(__xludf.DUMMYFUNCTION("""COMPUTED_VALUE"""),8.0)</f>
        <v>8</v>
      </c>
    </row>
    <row r="49" ht="15.75" customHeight="1">
      <c r="B49" s="37">
        <f>IFERROR(__xludf.DUMMYFUNCTION("""COMPUTED_VALUE"""),44.0)</f>
        <v>44</v>
      </c>
      <c r="C49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49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49" s="6" t="str">
        <f>IFERROR(__xludf.DUMMYFUNCTION("""COMPUTED_VALUE"""),"Análisis y ecosistemas Big Data")</f>
        <v>Análisis y ecosistemas Big Data</v>
      </c>
      <c r="F49" s="6" t="str">
        <f>IFERROR(__xludf.DUMMYFUNCTION("""COMPUTED_VALUE"""),"Arquitectura de Hadoop")</f>
        <v>Arquitectura de Hadoop</v>
      </c>
      <c r="G49" s="37" t="str">
        <f>IFERROR(__xludf.DUMMYFUNCTION("""COMPUTED_VALUE"""),"Septiembre")</f>
        <v>Septiembre</v>
      </c>
      <c r="H49" s="37">
        <f>IFERROR(__xludf.DUMMYFUNCTION("""COMPUTED_VALUE"""),8.0)</f>
        <v>8</v>
      </c>
    </row>
    <row r="50" ht="15.75" customHeight="1">
      <c r="B50" s="37">
        <f>IFERROR(__xludf.DUMMYFUNCTION("""COMPUTED_VALUE"""),45.0)</f>
        <v>45</v>
      </c>
      <c r="C50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0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0" s="6" t="str">
        <f>IFERROR(__xludf.DUMMYFUNCTION("""COMPUTED_VALUE"""),"Análisis y ecosistemas Big Data")</f>
        <v>Análisis y ecosistemas Big Data</v>
      </c>
      <c r="F50" s="6" t="str">
        <f>IFERROR(__xludf.DUMMYFUNCTION("""COMPUTED_VALUE"""),"Fundamentos de Python para análisis")</f>
        <v>Fundamentos de Python para análisis</v>
      </c>
      <c r="G50" s="37" t="str">
        <f>IFERROR(__xludf.DUMMYFUNCTION("""COMPUTED_VALUE"""),"Septiembre")</f>
        <v>Septiembre</v>
      </c>
      <c r="H50" s="37">
        <f>IFERROR(__xludf.DUMMYFUNCTION("""COMPUTED_VALUE"""),8.0)</f>
        <v>8</v>
      </c>
    </row>
    <row r="51" ht="15.75" customHeight="1">
      <c r="B51" s="37">
        <f>IFERROR(__xludf.DUMMYFUNCTION("""COMPUTED_VALUE"""),46.0)</f>
        <v>46</v>
      </c>
      <c r="C51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1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1" s="6" t="str">
        <f>IFERROR(__xludf.DUMMYFUNCTION("""COMPUTED_VALUE"""),"Análisis y ecosistemas Big Data")</f>
        <v>Análisis y ecosistemas Big Data</v>
      </c>
      <c r="F51" s="6" t="str">
        <f>IFERROR(__xludf.DUMMYFUNCTION("""COMPUTED_VALUE"""),"Exploración de datos en Pandas")</f>
        <v>Exploración de datos en Pandas</v>
      </c>
      <c r="G51" s="37" t="str">
        <f>IFERROR(__xludf.DUMMYFUNCTION("""COMPUTED_VALUE"""),"Septiembre")</f>
        <v>Septiembre</v>
      </c>
      <c r="H51" s="37">
        <f>IFERROR(__xludf.DUMMYFUNCTION("""COMPUTED_VALUE"""),8.0)</f>
        <v>8</v>
      </c>
    </row>
    <row r="52" ht="15.75" customHeight="1">
      <c r="B52" s="37">
        <f>IFERROR(__xludf.DUMMYFUNCTION("""COMPUTED_VALUE"""),47.0)</f>
        <v>47</v>
      </c>
      <c r="C52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2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2" s="6" t="str">
        <f>IFERROR(__xludf.DUMMYFUNCTION("""COMPUTED_VALUE"""),"Análisis y ecosistemas Big Data")</f>
        <v>Análisis y ecosistemas Big Data</v>
      </c>
      <c r="F52" s="6" t="str">
        <f>IFERROR(__xludf.DUMMYFUNCTION("""COMPUTED_VALUE"""),"Carga desde data lakes")</f>
        <v>Carga desde data lakes</v>
      </c>
      <c r="G52" s="37" t="str">
        <f>IFERROR(__xludf.DUMMYFUNCTION("""COMPUTED_VALUE"""),"Septiembre")</f>
        <v>Septiembre</v>
      </c>
      <c r="H52" s="37">
        <f>IFERROR(__xludf.DUMMYFUNCTION("""COMPUTED_VALUE"""),8.0)</f>
        <v>8</v>
      </c>
    </row>
    <row r="53" ht="15.75" customHeight="1">
      <c r="B53" s="37">
        <f>IFERROR(__xludf.DUMMYFUNCTION("""COMPUTED_VALUE"""),48.0)</f>
        <v>48</v>
      </c>
      <c r="C53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3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3" s="6" t="str">
        <f>IFERROR(__xludf.DUMMYFUNCTION("""COMPUTED_VALUE"""),"Procesamiento distribuido con PySpark")</f>
        <v>Procesamiento distribuido con PySpark</v>
      </c>
      <c r="F53" s="6" t="str">
        <f>IFERROR(__xludf.DUMMYFUNCTION("""COMPUTED_VALUE"""),"Introducción a Spark y PySpark")</f>
        <v>Introducción a Spark y PySpark</v>
      </c>
      <c r="G53" s="37" t="str">
        <f>IFERROR(__xludf.DUMMYFUNCTION("""COMPUTED_VALUE"""),"Septiembre")</f>
        <v>Septiembre</v>
      </c>
      <c r="H53" s="37">
        <f>IFERROR(__xludf.DUMMYFUNCTION("""COMPUTED_VALUE"""),9.0)</f>
        <v>9</v>
      </c>
    </row>
    <row r="54" ht="15.75" customHeight="1">
      <c r="B54" s="37">
        <f>IFERROR(__xludf.DUMMYFUNCTION("""COMPUTED_VALUE"""),49.0)</f>
        <v>49</v>
      </c>
      <c r="C54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4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4" s="6" t="str">
        <f>IFERROR(__xludf.DUMMYFUNCTION("""COMPUTED_VALUE"""),"Procesamiento distribuido con PySpark")</f>
        <v>Procesamiento distribuido con PySpark</v>
      </c>
      <c r="F54" s="6" t="str">
        <f>IFERROR(__xludf.DUMMYFUNCTION("""COMPUTED_VALUE"""),"Comparativa Pandas vs PySpark")</f>
        <v>Comparativa Pandas vs PySpark</v>
      </c>
      <c r="G54" s="37" t="str">
        <f>IFERROR(__xludf.DUMMYFUNCTION("""COMPUTED_VALUE"""),"Septiembre")</f>
        <v>Septiembre</v>
      </c>
      <c r="H54" s="37">
        <f>IFERROR(__xludf.DUMMYFUNCTION("""COMPUTED_VALUE"""),9.0)</f>
        <v>9</v>
      </c>
    </row>
    <row r="55" ht="15.75" customHeight="1">
      <c r="B55" s="37">
        <f>IFERROR(__xludf.DUMMYFUNCTION("""COMPUTED_VALUE"""),50.0)</f>
        <v>50</v>
      </c>
      <c r="C55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5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5" s="6" t="str">
        <f>IFERROR(__xludf.DUMMYFUNCTION("""COMPUTED_VALUE"""),"Procesamiento distribuido con PySpark")</f>
        <v>Procesamiento distribuido con PySpark</v>
      </c>
      <c r="F55" s="6" t="str">
        <f>IFERROR(__xludf.DUMMYFUNCTION("""COMPUTED_VALUE"""),"Conexión a bases NoSQL")</f>
        <v>Conexión a bases NoSQL</v>
      </c>
      <c r="G55" s="37" t="str">
        <f>IFERROR(__xludf.DUMMYFUNCTION("""COMPUTED_VALUE"""),"Septiembre")</f>
        <v>Septiembre</v>
      </c>
      <c r="H55" s="37">
        <f>IFERROR(__xludf.DUMMYFUNCTION("""COMPUTED_VALUE"""),9.0)</f>
        <v>9</v>
      </c>
    </row>
    <row r="56" ht="15.75" customHeight="1">
      <c r="B56" s="37">
        <f>IFERROR(__xludf.DUMMYFUNCTION("""COMPUTED_VALUE"""),51.0)</f>
        <v>51</v>
      </c>
      <c r="C56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6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6" s="6" t="str">
        <f>IFERROR(__xludf.DUMMYFUNCTION("""COMPUTED_VALUE"""),"Procesamiento distribuido con PySpark")</f>
        <v>Procesamiento distribuido con PySpark</v>
      </c>
      <c r="F56" s="6" t="str">
        <f>IFERROR(__xludf.DUMMYFUNCTION("""COMPUTED_VALUE"""),"Análisis de datos no estructurados")</f>
        <v>Análisis de datos no estructurados</v>
      </c>
      <c r="G56" s="37" t="str">
        <f>IFERROR(__xludf.DUMMYFUNCTION("""COMPUTED_VALUE"""),"Septiembre")</f>
        <v>Septiembre</v>
      </c>
      <c r="H56" s="37">
        <f>IFERROR(__xludf.DUMMYFUNCTION("""COMPUTED_VALUE"""),9.0)</f>
        <v>9</v>
      </c>
    </row>
    <row r="57" ht="15.75" customHeight="1">
      <c r="B57" s="37">
        <f>IFERROR(__xludf.DUMMYFUNCTION("""COMPUTED_VALUE"""),52.0)</f>
        <v>52</v>
      </c>
      <c r="C57" s="6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D57" s="6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E57" s="6" t="str">
        <f>IFERROR(__xludf.DUMMYFUNCTION("""COMPUTED_VALUE"""),"Procesamiento distribuido con PySpark")</f>
        <v>Procesamiento distribuido con PySpark</v>
      </c>
      <c r="F57" s="6" t="str">
        <f>IFERROR(__xludf.DUMMYFUNCTION("""COMPUTED_VALUE"""),"Procesamiento de volúmenes grandes")</f>
        <v>Procesamiento de volúmenes grandes</v>
      </c>
      <c r="G57" s="37" t="str">
        <f>IFERROR(__xludf.DUMMYFUNCTION("""COMPUTED_VALUE"""),"Septiembre")</f>
        <v>Septiembre</v>
      </c>
      <c r="H57" s="37">
        <f>IFERROR(__xludf.DUMMYFUNCTION("""COMPUTED_VALUE"""),9.0)</f>
        <v>9</v>
      </c>
    </row>
    <row r="58" ht="15.75" customHeight="1">
      <c r="B58" s="37">
        <f>IFERROR(__xludf.DUMMYFUNCTION("""COMPUTED_VALUE"""),53.0)</f>
        <v>53</v>
      </c>
      <c r="C58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58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58" s="6" t="str">
        <f>IFERROR(__xludf.DUMMYFUNCTION("""COMPUTED_VALUE"""),"Visualización avanzada para ciencia de datos")</f>
        <v>Visualización avanzada para ciencia de datos</v>
      </c>
      <c r="F58" s="6" t="str">
        <f>IFERROR(__xludf.DUMMYFUNCTION("""COMPUTED_VALUE"""),"Matplotlib y Seaborn")</f>
        <v>Matplotlib y Seaborn</v>
      </c>
      <c r="G58" s="37" t="str">
        <f>IFERROR(__xludf.DUMMYFUNCTION("""COMPUTED_VALUE"""),"Septiembre")</f>
        <v>Septiembre</v>
      </c>
      <c r="H58" s="37">
        <f>IFERROR(__xludf.DUMMYFUNCTION("""COMPUTED_VALUE"""),10.0)</f>
        <v>10</v>
      </c>
    </row>
    <row r="59" ht="15.75" customHeight="1">
      <c r="B59" s="37">
        <f>IFERROR(__xludf.DUMMYFUNCTION("""COMPUTED_VALUE"""),54.0)</f>
        <v>54</v>
      </c>
      <c r="C59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59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59" s="6" t="str">
        <f>IFERROR(__xludf.DUMMYFUNCTION("""COMPUTED_VALUE"""),"Visualización avanzada para ciencia de datos")</f>
        <v>Visualización avanzada para ciencia de datos</v>
      </c>
      <c r="F59" s="6" t="str">
        <f>IFERROR(__xludf.DUMMYFUNCTION("""COMPUTED_VALUE"""),"Dashboards con subplots")</f>
        <v>Dashboards con subplots</v>
      </c>
      <c r="G59" s="37" t="str">
        <f>IFERROR(__xludf.DUMMYFUNCTION("""COMPUTED_VALUE"""),"Septiembre")</f>
        <v>Septiembre</v>
      </c>
      <c r="H59" s="37">
        <f>IFERROR(__xludf.DUMMYFUNCTION("""COMPUTED_VALUE"""),10.0)</f>
        <v>10</v>
      </c>
    </row>
    <row r="60" ht="15.75" customHeight="1">
      <c r="B60" s="37">
        <f>IFERROR(__xludf.DUMMYFUNCTION("""COMPUTED_VALUE"""),55.0)</f>
        <v>55</v>
      </c>
      <c r="C60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60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60" s="6" t="str">
        <f>IFERROR(__xludf.DUMMYFUNCTION("""COMPUTED_VALUE"""),"Visualización avanzada para ciencia de datos")</f>
        <v>Visualización avanzada para ciencia de datos</v>
      </c>
      <c r="F60" s="6" t="str">
        <f>IFERROR(__xludf.DUMMYFUNCTION("""COMPUTED_VALUE"""),"Gráficos estadísticos")</f>
        <v>Gráficos estadísticos</v>
      </c>
      <c r="G60" s="37" t="str">
        <f>IFERROR(__xludf.DUMMYFUNCTION("""COMPUTED_VALUE"""),"Septiembre")</f>
        <v>Septiembre</v>
      </c>
      <c r="H60" s="37">
        <f>IFERROR(__xludf.DUMMYFUNCTION("""COMPUTED_VALUE"""),10.0)</f>
        <v>10</v>
      </c>
    </row>
    <row r="61" ht="15.75" customHeight="1">
      <c r="B61" s="37">
        <f>IFERROR(__xludf.DUMMYFUNCTION("""COMPUTED_VALUE"""),56.0)</f>
        <v>56</v>
      </c>
      <c r="C61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61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61" s="6" t="str">
        <f>IFERROR(__xludf.DUMMYFUNCTION("""COMPUTED_VALUE"""),"Visualización avanzada para ciencia de datos")</f>
        <v>Visualización avanzada para ciencia de datos</v>
      </c>
      <c r="F61" s="6" t="str">
        <f>IFERROR(__xludf.DUMMYFUNCTION("""COMPUTED_VALUE"""),"Rol del científico e ingeniero de datos")</f>
        <v>Rol del científico e ingeniero de datos</v>
      </c>
      <c r="G61" s="37" t="str">
        <f>IFERROR(__xludf.DUMMYFUNCTION("""COMPUTED_VALUE"""),"Septiembre")</f>
        <v>Septiembre</v>
      </c>
      <c r="H61" s="37">
        <f>IFERROR(__xludf.DUMMYFUNCTION("""COMPUTED_VALUE"""),10.0)</f>
        <v>10</v>
      </c>
    </row>
    <row r="62" ht="15.75" customHeight="1">
      <c r="B62" s="37">
        <f>IFERROR(__xludf.DUMMYFUNCTION("""COMPUTED_VALUE"""),57.0)</f>
        <v>57</v>
      </c>
      <c r="C62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62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62" s="6" t="str">
        <f>IFERROR(__xludf.DUMMYFUNCTION("""COMPUTED_VALUE"""),"Modelos predictivos y procesamiento de texto")</f>
        <v>Modelos predictivos y procesamiento de texto</v>
      </c>
      <c r="F62" s="6" t="str">
        <f>IFERROR(__xludf.DUMMYFUNCTION("""COMPUTED_VALUE"""),"CRISP-DM y Scikit-learn")</f>
        <v>CRISP-DM y Scikit-learn</v>
      </c>
      <c r="G62" s="37" t="str">
        <f>IFERROR(__xludf.DUMMYFUNCTION("""COMPUTED_VALUE"""),"Septiembre")</f>
        <v>Septiembre</v>
      </c>
      <c r="H62" s="37">
        <f>IFERROR(__xludf.DUMMYFUNCTION("""COMPUTED_VALUE"""),10.0)</f>
        <v>10</v>
      </c>
    </row>
    <row r="63" ht="15.75" customHeight="1">
      <c r="B63" s="37">
        <f>IFERROR(__xludf.DUMMYFUNCTION("""COMPUTED_VALUE"""),58.0)</f>
        <v>58</v>
      </c>
      <c r="C63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63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63" s="6" t="str">
        <f>IFERROR(__xludf.DUMMYFUNCTION("""COMPUTED_VALUE"""),"Modelos predictivos y procesamiento de texto")</f>
        <v>Modelos predictivos y procesamiento de texto</v>
      </c>
      <c r="F63" s="6" t="str">
        <f>IFERROR(__xludf.DUMMYFUNCTION("""COMPUTED_VALUE"""),"Modelo de regresión")</f>
        <v>Modelo de regresión</v>
      </c>
      <c r="G63" s="37" t="str">
        <f>IFERROR(__xludf.DUMMYFUNCTION("""COMPUTED_VALUE"""),"Septiembre")</f>
        <v>Septiembre</v>
      </c>
      <c r="H63" s="37">
        <f>IFERROR(__xludf.DUMMYFUNCTION("""COMPUTED_VALUE"""),10.0)</f>
        <v>10</v>
      </c>
    </row>
    <row r="64" ht="15.75" customHeight="1">
      <c r="B64" s="37">
        <f>IFERROR(__xludf.DUMMYFUNCTION("""COMPUTED_VALUE"""),59.0)</f>
        <v>59</v>
      </c>
      <c r="C64" s="6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D64" s="6" t="str">
        <f>IFERROR(__xludf.DUMMYFUNCTION("""COMPUTED_VALUE"""),"Unidad 6 Ciencia de Datos: Modelado Predictivo y Análisis de Texto con Python")</f>
        <v>Unidad 6 Ciencia de Datos: Modelado Predictivo y Análisis de Texto con Python</v>
      </c>
      <c r="E64" s="6" t="str">
        <f>IFERROR(__xludf.DUMMYFUNCTION("""COMPUTED_VALUE"""),"Modelos predictivos y procesamiento de texto")</f>
        <v>Modelos predictivos y procesamiento de texto</v>
      </c>
      <c r="F64" s="6" t="str">
        <f>IFERROR(__xludf.DUMMYFUNCTION("""COMPUTED_VALUE"""),"Clasificación y Bag of Words")</f>
        <v>Clasificación y Bag of Words</v>
      </c>
      <c r="G64" s="37" t="str">
        <f>IFERROR(__xludf.DUMMYFUNCTION("""COMPUTED_VALUE"""),"Septiembre")</f>
        <v>Septiembre</v>
      </c>
      <c r="H64" s="37">
        <f>IFERROR(__xludf.DUMMYFUNCTION("""COMPUTED_VALUE"""),10.0)</f>
        <v>10</v>
      </c>
    </row>
    <row r="65" ht="15.75" customHeight="1">
      <c r="B65" s="37">
        <f>IFERROR(__xludf.DUMMYFUNCTION("""COMPUTED_VALUE"""),61.0)</f>
        <v>61</v>
      </c>
      <c r="C65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65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65" s="6" t="str">
        <f>IFERROR(__xludf.DUMMYFUNCTION("""COMPUTED_VALUE"""),"Gobierno de datos con BigQuery")</f>
        <v>Gobierno de datos con BigQuery</v>
      </c>
      <c r="F65" s="6" t="str">
        <f>IFERROR(__xludf.DUMMYFUNCTION("""COMPUTED_VALUE"""),"¿Qué es BigQuery?")</f>
        <v>¿Qué es BigQuery?</v>
      </c>
      <c r="G65" s="37" t="str">
        <f>IFERROR(__xludf.DUMMYFUNCTION("""COMPUTED_VALUE"""),"Septiembre")</f>
        <v>Septiembre</v>
      </c>
      <c r="H65" s="37">
        <f>IFERROR(__xludf.DUMMYFUNCTION("""COMPUTED_VALUE"""),11.0)</f>
        <v>11</v>
      </c>
    </row>
    <row r="66" ht="15.75" customHeight="1">
      <c r="B66" s="37">
        <f>IFERROR(__xludf.DUMMYFUNCTION("""COMPUTED_VALUE"""),62.0)</f>
        <v>62</v>
      </c>
      <c r="C66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66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66" s="6" t="str">
        <f>IFERROR(__xludf.DUMMYFUNCTION("""COMPUTED_VALUE"""),"Gobierno de datos con BigQuery")</f>
        <v>Gobierno de datos con BigQuery</v>
      </c>
      <c r="F66" s="6" t="str">
        <f>IFERROR(__xludf.DUMMYFUNCTION("""COMPUTED_VALUE"""),"Arquitectura, precios y permisos")</f>
        <v>Arquitectura, precios y permisos</v>
      </c>
      <c r="G66" s="37" t="str">
        <f>IFERROR(__xludf.DUMMYFUNCTION("""COMPUTED_VALUE"""),"Septiembre")</f>
        <v>Septiembre</v>
      </c>
      <c r="H66" s="37">
        <f>IFERROR(__xludf.DUMMYFUNCTION("""COMPUTED_VALUE"""),11.0)</f>
        <v>11</v>
      </c>
    </row>
    <row r="67" ht="15.75" customHeight="1">
      <c r="B67" s="37">
        <f>IFERROR(__xludf.DUMMYFUNCTION("""COMPUTED_VALUE"""),63.0)</f>
        <v>63</v>
      </c>
      <c r="C67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67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67" s="6" t="str">
        <f>IFERROR(__xludf.DUMMYFUNCTION("""COMPUTED_VALUE"""),"Gobierno de datos con BigQuery")</f>
        <v>Gobierno de datos con BigQuery</v>
      </c>
      <c r="F67" s="6" t="str">
        <f>IFERROR(__xludf.DUMMYFUNCTION("""COMPUTED_VALUE"""),"Aplicación del gobierno de datos")</f>
        <v>Aplicación del gobierno de datos</v>
      </c>
      <c r="G67" s="37" t="str">
        <f>IFERROR(__xludf.DUMMYFUNCTION("""COMPUTED_VALUE"""),"Septiembre")</f>
        <v>Septiembre</v>
      </c>
      <c r="H67" s="37">
        <f>IFERROR(__xludf.DUMMYFUNCTION("""COMPUTED_VALUE"""),11.0)</f>
        <v>11</v>
      </c>
    </row>
    <row r="68" ht="15.75" customHeight="1">
      <c r="B68" s="37">
        <f>IFERROR(__xludf.DUMMYFUNCTION("""COMPUTED_VALUE"""),64.0)</f>
        <v>64</v>
      </c>
      <c r="C68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68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68" s="6" t="str">
        <f>IFERROR(__xludf.DUMMYFUNCTION("""COMPUTED_VALUE"""),"Modelado y ML con BigQuery")</f>
        <v>Modelado y ML con BigQuery</v>
      </c>
      <c r="F68" s="6" t="str">
        <f>IFERROR(__xludf.DUMMYFUNCTION("""COMPUTED_VALUE"""),"Optimización de consultas")</f>
        <v>Optimización de consultas</v>
      </c>
      <c r="G68" s="37" t="str">
        <f>IFERROR(__xludf.DUMMYFUNCTION("""COMPUTED_VALUE"""),"Noviembre")</f>
        <v>Noviembre</v>
      </c>
      <c r="H68" s="37">
        <f>IFERROR(__xludf.DUMMYFUNCTION("""COMPUTED_VALUE"""),11.0)</f>
        <v>11</v>
      </c>
    </row>
    <row r="69" ht="15.75" customHeight="1">
      <c r="B69" s="37">
        <f>IFERROR(__xludf.DUMMYFUNCTION("""COMPUTED_VALUE"""),65.0)</f>
        <v>65</v>
      </c>
      <c r="C69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69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69" s="6" t="str">
        <f>IFERROR(__xludf.DUMMYFUNCTION("""COMPUTED_VALUE"""),"Modelado y ML con BigQuery")</f>
        <v>Modelado y ML con BigQuery</v>
      </c>
      <c r="F69" s="6" t="str">
        <f>IFERROR(__xludf.DUMMYFUNCTION("""COMPUTED_VALUE"""),"Tablas materializadas y vistas")</f>
        <v>Tablas materializadas y vistas</v>
      </c>
      <c r="G69" s="37" t="str">
        <f>IFERROR(__xludf.DUMMYFUNCTION("""COMPUTED_VALUE"""),"Noviembre")</f>
        <v>Noviembre</v>
      </c>
      <c r="H69" s="37">
        <f>IFERROR(__xludf.DUMMYFUNCTION("""COMPUTED_VALUE"""),11.0)</f>
        <v>11</v>
      </c>
    </row>
    <row r="70" ht="15.75" customHeight="1">
      <c r="B70" s="37">
        <f>IFERROR(__xludf.DUMMYFUNCTION("""COMPUTED_VALUE"""),66.0)</f>
        <v>66</v>
      </c>
      <c r="C70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70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70" s="6" t="str">
        <f>IFERROR(__xludf.DUMMYFUNCTION("""COMPUTED_VALUE"""),"Modelado y ML con BigQuery")</f>
        <v>Modelado y ML con BigQuery</v>
      </c>
      <c r="F70" s="6" t="str">
        <f>IFERROR(__xludf.DUMMYFUNCTION("""COMPUTED_VALUE"""),"BigQuery ML")</f>
        <v>BigQuery ML</v>
      </c>
      <c r="G70" s="37" t="str">
        <f>IFERROR(__xludf.DUMMYFUNCTION("""COMPUTED_VALUE"""),"Noviembre")</f>
        <v>Noviembre</v>
      </c>
      <c r="H70" s="37">
        <f>IFERROR(__xludf.DUMMYFUNCTION("""COMPUTED_VALUE"""),11.0)</f>
        <v>11</v>
      </c>
    </row>
    <row r="71" ht="15.75" customHeight="1">
      <c r="B71" s="37">
        <f>IFERROR(__xludf.DUMMYFUNCTION("""COMPUTED_VALUE"""),67.0)</f>
        <v>67</v>
      </c>
      <c r="C71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D71" s="6" t="str">
        <f>IFERROR(__xludf.DUMMYFUNCTION("""COMPUTED_VALUE"""),"Unidad 7 Gobierno de Datos y Machine Learning en Entornos Cloud con BigQuery")</f>
        <v>Unidad 7 Gobierno de Datos y Machine Learning en Entornos Cloud con BigQuery</v>
      </c>
      <c r="E71" s="6" t="str">
        <f>IFERROR(__xludf.DUMMYFUNCTION("""COMPUTED_VALUE"""),"Modelado y ML con BigQuery")</f>
        <v>Modelado y ML con BigQuery</v>
      </c>
      <c r="F71" s="6" t="str">
        <f>IFERROR(__xludf.DUMMYFUNCTION("""COMPUTED_VALUE"""),"Exportación a herramientas externas")</f>
        <v>Exportación a herramientas externas</v>
      </c>
      <c r="G71" s="37" t="str">
        <f>IFERROR(__xludf.DUMMYFUNCTION("""COMPUTED_VALUE"""),"Noviembre")</f>
        <v>Noviembre</v>
      </c>
      <c r="H71" s="37">
        <f>IFERROR(__xludf.DUMMYFUNCTION("""COMPUTED_VALUE"""),11.0)</f>
        <v>11</v>
      </c>
    </row>
    <row r="72" ht="15.75" customHeight="1">
      <c r="B72" s="37"/>
      <c r="C72" s="6"/>
      <c r="D72" s="6"/>
      <c r="E72" s="6"/>
      <c r="F72" s="6"/>
      <c r="G72" s="37"/>
      <c r="H72" s="37"/>
    </row>
    <row r="73" ht="15.75" customHeight="1">
      <c r="B73" s="37"/>
      <c r="C73" s="6"/>
      <c r="D73" s="6"/>
      <c r="E73" s="6"/>
      <c r="F73" s="6"/>
      <c r="G73" s="37"/>
      <c r="H73" s="37"/>
    </row>
    <row r="74" ht="15.75" customHeight="1">
      <c r="B74" s="37"/>
      <c r="C74" s="6"/>
      <c r="D74" s="6"/>
      <c r="E74" s="6"/>
      <c r="F74" s="6"/>
      <c r="G74" s="37"/>
      <c r="H74" s="37"/>
    </row>
    <row r="75" ht="15.75" customHeight="1">
      <c r="B75" s="37"/>
      <c r="C75" s="6"/>
      <c r="D75" s="6"/>
      <c r="E75" s="6"/>
      <c r="F75" s="6"/>
      <c r="G75" s="37"/>
      <c r="H75" s="37"/>
    </row>
    <row r="76" ht="15.75" customHeight="1">
      <c r="B76" s="37"/>
      <c r="C76" s="6"/>
      <c r="D76" s="6"/>
      <c r="E76" s="6"/>
      <c r="F76" s="6"/>
      <c r="G76" s="37"/>
      <c r="H76" s="37"/>
    </row>
    <row r="77" ht="15.75" customHeight="1">
      <c r="B77" s="37"/>
      <c r="C77" s="6"/>
      <c r="D77" s="6"/>
      <c r="E77" s="6"/>
      <c r="F77" s="6"/>
      <c r="G77" s="37"/>
      <c r="H77" s="37"/>
    </row>
    <row r="78" ht="15.75" customHeight="1">
      <c r="B78" s="37"/>
      <c r="C78" s="6"/>
      <c r="D78" s="6"/>
      <c r="E78" s="6"/>
      <c r="F78" s="6"/>
      <c r="G78" s="37"/>
      <c r="H78" s="37"/>
    </row>
    <row r="79" ht="15.75" customHeight="1">
      <c r="B79" s="37"/>
      <c r="C79" s="6"/>
      <c r="D79" s="6"/>
      <c r="E79" s="6"/>
      <c r="F79" s="6"/>
      <c r="G79" s="37"/>
      <c r="H79" s="37"/>
    </row>
    <row r="80" ht="15.75" customHeight="1">
      <c r="B80" s="37"/>
      <c r="C80" s="6"/>
      <c r="D80" s="6"/>
      <c r="E80" s="6"/>
      <c r="F80" s="6"/>
      <c r="G80" s="37"/>
      <c r="H80" s="37"/>
    </row>
    <row r="81" ht="15.75" customHeight="1">
      <c r="B81" s="37"/>
      <c r="C81" s="6"/>
      <c r="D81" s="6"/>
      <c r="E81" s="6"/>
      <c r="F81" s="6"/>
      <c r="G81" s="37"/>
      <c r="H81" s="37"/>
    </row>
    <row r="82" ht="15.75" customHeight="1">
      <c r="B82" s="37"/>
      <c r="C82" s="6"/>
      <c r="D82" s="6"/>
      <c r="E82" s="6"/>
      <c r="F82" s="6"/>
      <c r="G82" s="37"/>
      <c r="H82" s="37"/>
    </row>
    <row r="83" ht="15.75" customHeight="1">
      <c r="B83" s="37"/>
      <c r="C83" s="6"/>
      <c r="D83" s="6"/>
      <c r="E83" s="6"/>
      <c r="F83" s="6"/>
      <c r="G83" s="37"/>
      <c r="H83" s="37"/>
    </row>
    <row r="84" ht="15.75" customHeight="1">
      <c r="B84" s="37"/>
      <c r="C84" s="6"/>
      <c r="D84" s="6"/>
      <c r="E84" s="6"/>
      <c r="F84" s="6"/>
      <c r="G84" s="37"/>
      <c r="H84" s="37"/>
    </row>
    <row r="85" ht="15.75" customHeight="1">
      <c r="B85" s="37"/>
      <c r="C85" s="6"/>
      <c r="D85" s="6"/>
      <c r="E85" s="6"/>
      <c r="F85" s="6"/>
      <c r="G85" s="37"/>
      <c r="H85" s="37"/>
    </row>
    <row r="86" ht="15.75" customHeight="1">
      <c r="B86" s="37"/>
      <c r="C86" s="6"/>
      <c r="D86" s="6"/>
      <c r="E86" s="6"/>
      <c r="F86" s="6"/>
      <c r="G86" s="37"/>
      <c r="H86" s="37"/>
    </row>
    <row r="87" ht="15.75" customHeight="1">
      <c r="B87" s="37"/>
      <c r="C87" s="6"/>
      <c r="D87" s="6"/>
      <c r="E87" s="6"/>
      <c r="F87" s="6"/>
      <c r="G87" s="37"/>
      <c r="H87" s="37"/>
    </row>
    <row r="88" ht="15.75" customHeight="1">
      <c r="B88" s="37"/>
      <c r="C88" s="6"/>
      <c r="D88" s="6"/>
      <c r="E88" s="6"/>
      <c r="F88" s="6"/>
      <c r="G88" s="37"/>
      <c r="H88" s="37"/>
    </row>
    <row r="89" ht="15.75" customHeight="1">
      <c r="B89" s="37"/>
      <c r="C89" s="6"/>
      <c r="D89" s="6"/>
      <c r="E89" s="6"/>
      <c r="F89" s="6"/>
      <c r="G89" s="37"/>
      <c r="H89" s="37"/>
    </row>
    <row r="90" ht="15.75" customHeight="1">
      <c r="B90" s="37"/>
      <c r="C90" s="6"/>
      <c r="D90" s="6"/>
      <c r="E90" s="6"/>
      <c r="F90" s="6"/>
      <c r="G90" s="37"/>
      <c r="H90" s="37"/>
    </row>
    <row r="91" ht="15.75" customHeight="1">
      <c r="B91" s="37"/>
      <c r="C91" s="6"/>
      <c r="D91" s="6"/>
      <c r="E91" s="6"/>
      <c r="F91" s="6"/>
      <c r="G91" s="37"/>
      <c r="H91" s="37"/>
    </row>
    <row r="92" ht="15.75" customHeight="1">
      <c r="B92" s="37"/>
      <c r="C92" s="6"/>
      <c r="D92" s="6"/>
      <c r="E92" s="6"/>
      <c r="F92" s="6"/>
      <c r="G92" s="37"/>
      <c r="H92" s="37"/>
    </row>
    <row r="93" ht="15.75" customHeight="1">
      <c r="B93" s="37"/>
      <c r="C93" s="6"/>
      <c r="D93" s="6"/>
      <c r="E93" s="6"/>
      <c r="F93" s="6"/>
      <c r="G93" s="37"/>
      <c r="H93" s="37"/>
    </row>
    <row r="94" ht="15.75" customHeight="1">
      <c r="B94" s="37"/>
      <c r="C94" s="6"/>
      <c r="D94" s="6"/>
      <c r="E94" s="6"/>
      <c r="F94" s="6"/>
      <c r="G94" s="37"/>
      <c r="H94" s="37"/>
    </row>
    <row r="95" ht="15.75" customHeight="1">
      <c r="B95" s="37"/>
      <c r="C95" s="6"/>
      <c r="D95" s="6"/>
      <c r="E95" s="6"/>
      <c r="F95" s="6"/>
      <c r="G95" s="37"/>
      <c r="H95" s="37"/>
    </row>
    <row r="96" ht="15.75" customHeight="1">
      <c r="B96" s="37"/>
      <c r="C96" s="6"/>
      <c r="D96" s="6"/>
      <c r="E96" s="6"/>
      <c r="F96" s="6"/>
      <c r="G96" s="37"/>
      <c r="H96" s="37"/>
    </row>
    <row r="97" ht="15.75" customHeight="1">
      <c r="B97" s="37"/>
      <c r="C97" s="6"/>
      <c r="D97" s="6"/>
      <c r="E97" s="6"/>
      <c r="F97" s="6"/>
      <c r="G97" s="37"/>
      <c r="H97" s="37"/>
    </row>
    <row r="98" ht="15.75" customHeight="1">
      <c r="B98" s="37"/>
      <c r="C98" s="6"/>
      <c r="D98" s="6"/>
      <c r="E98" s="6"/>
      <c r="F98" s="6"/>
      <c r="G98" s="37"/>
      <c r="H98" s="37"/>
    </row>
    <row r="99" ht="15.75" customHeight="1">
      <c r="B99" s="37"/>
      <c r="C99" s="6"/>
      <c r="D99" s="6"/>
      <c r="E99" s="6"/>
      <c r="F99" s="6"/>
      <c r="G99" s="37"/>
      <c r="H99" s="37"/>
    </row>
    <row r="100" ht="15.75" customHeight="1">
      <c r="B100" s="37"/>
      <c r="C100" s="6"/>
      <c r="D100" s="6"/>
      <c r="E100" s="6"/>
      <c r="F100" s="6"/>
      <c r="G100" s="37"/>
      <c r="H100" s="37"/>
    </row>
    <row r="101" ht="15.75" customHeight="1">
      <c r="B101" s="37"/>
      <c r="C101" s="6"/>
      <c r="D101" s="6"/>
      <c r="E101" s="6"/>
      <c r="F101" s="6"/>
      <c r="G101" s="37"/>
      <c r="H101" s="37"/>
    </row>
    <row r="102" ht="15.75" customHeight="1">
      <c r="B102" s="37"/>
      <c r="C102" s="6"/>
      <c r="D102" s="6"/>
      <c r="E102" s="6"/>
      <c r="F102" s="6"/>
      <c r="G102" s="37"/>
      <c r="H102" s="37"/>
    </row>
    <row r="103" ht="15.75" customHeight="1">
      <c r="B103" s="37"/>
      <c r="C103" s="6"/>
      <c r="D103" s="6"/>
      <c r="E103" s="6"/>
      <c r="F103" s="6"/>
      <c r="G103" s="37"/>
      <c r="H103" s="37"/>
    </row>
    <row r="104" ht="15.75" customHeight="1">
      <c r="B104" s="37"/>
      <c r="C104" s="6"/>
      <c r="D104" s="6"/>
      <c r="E104" s="6"/>
      <c r="F104" s="6"/>
      <c r="G104" s="37"/>
      <c r="H104" s="37"/>
    </row>
    <row r="105" ht="15.75" customHeight="1">
      <c r="B105" s="37"/>
      <c r="C105" s="6"/>
      <c r="D105" s="6"/>
      <c r="E105" s="6"/>
      <c r="F105" s="6"/>
      <c r="G105" s="37"/>
      <c r="H105" s="37"/>
    </row>
    <row r="106" ht="15.75" customHeight="1">
      <c r="B106" s="37"/>
      <c r="C106" s="6"/>
      <c r="D106" s="6"/>
      <c r="E106" s="6"/>
      <c r="F106" s="6"/>
      <c r="G106" s="37"/>
      <c r="H106" s="37"/>
    </row>
    <row r="107" ht="15.75" customHeight="1">
      <c r="B107" s="37"/>
      <c r="C107" s="6"/>
      <c r="D107" s="6"/>
      <c r="E107" s="6"/>
      <c r="F107" s="6"/>
      <c r="G107" s="37"/>
      <c r="H107" s="37"/>
    </row>
    <row r="108" ht="15.75" customHeight="1">
      <c r="B108" s="37"/>
      <c r="C108" s="6"/>
      <c r="D108" s="6"/>
      <c r="E108" s="6"/>
      <c r="F108" s="6"/>
      <c r="G108" s="37"/>
      <c r="H108" s="37"/>
    </row>
    <row r="109" ht="15.75" customHeight="1">
      <c r="B109" s="37"/>
      <c r="C109" s="6"/>
      <c r="D109" s="6"/>
      <c r="E109" s="6"/>
      <c r="F109" s="6"/>
      <c r="G109" s="37"/>
      <c r="H109" s="37"/>
    </row>
    <row r="110" ht="15.75" customHeight="1">
      <c r="B110" s="37"/>
      <c r="C110" s="6"/>
      <c r="D110" s="6"/>
      <c r="E110" s="6"/>
      <c r="F110" s="6"/>
      <c r="G110" s="37"/>
      <c r="H110" s="37"/>
    </row>
    <row r="111" ht="15.75" customHeight="1">
      <c r="B111" s="37"/>
      <c r="C111" s="6"/>
      <c r="D111" s="6"/>
      <c r="E111" s="6"/>
      <c r="F111" s="6"/>
      <c r="G111" s="37"/>
      <c r="H111" s="37"/>
    </row>
    <row r="112" ht="15.75" customHeight="1">
      <c r="B112" s="37"/>
      <c r="C112" s="6"/>
      <c r="D112" s="6"/>
      <c r="E112" s="6"/>
      <c r="F112" s="6"/>
      <c r="G112" s="37"/>
      <c r="H112" s="37"/>
    </row>
    <row r="113" ht="15.75" customHeight="1">
      <c r="B113" s="37"/>
      <c r="C113" s="6"/>
      <c r="D113" s="6"/>
      <c r="E113" s="6"/>
      <c r="F113" s="6"/>
      <c r="G113" s="37"/>
      <c r="H113" s="37"/>
    </row>
    <row r="114" ht="15.75" customHeight="1">
      <c r="B114" s="37"/>
      <c r="C114" s="6"/>
      <c r="D114" s="6"/>
      <c r="E114" s="6"/>
      <c r="F114" s="6"/>
      <c r="G114" s="37"/>
      <c r="H114" s="37"/>
    </row>
    <row r="115" ht="15.75" customHeight="1">
      <c r="B115" s="37"/>
      <c r="C115" s="6"/>
      <c r="D115" s="6"/>
      <c r="E115" s="6"/>
      <c r="F115" s="6"/>
      <c r="G115" s="37"/>
      <c r="H115" s="37"/>
    </row>
    <row r="116" ht="15.75" customHeight="1">
      <c r="B116" s="37"/>
      <c r="C116" s="6"/>
      <c r="D116" s="6"/>
      <c r="E116" s="6"/>
      <c r="F116" s="6"/>
      <c r="G116" s="37"/>
      <c r="H116" s="37"/>
    </row>
    <row r="117" ht="15.75" customHeight="1">
      <c r="B117" s="37"/>
      <c r="C117" s="6"/>
      <c r="D117" s="6"/>
      <c r="E117" s="6"/>
      <c r="F117" s="6"/>
      <c r="G117" s="37"/>
      <c r="H117" s="37"/>
    </row>
    <row r="118" ht="15.75" customHeight="1">
      <c r="B118" s="37"/>
      <c r="C118" s="6"/>
      <c r="D118" s="6"/>
      <c r="E118" s="6"/>
      <c r="F118" s="6"/>
      <c r="G118" s="37"/>
      <c r="H118" s="37"/>
    </row>
    <row r="119" ht="15.75" customHeight="1">
      <c r="B119" s="37"/>
      <c r="C119" s="6"/>
      <c r="D119" s="6"/>
      <c r="E119" s="6"/>
      <c r="F119" s="6"/>
      <c r="G119" s="37"/>
      <c r="H119" s="37"/>
    </row>
    <row r="120" ht="15.75" customHeight="1">
      <c r="B120" s="37"/>
      <c r="C120" s="6"/>
      <c r="D120" s="6"/>
      <c r="E120" s="6"/>
      <c r="F120" s="6"/>
      <c r="G120" s="37"/>
      <c r="H120" s="37"/>
    </row>
    <row r="121" ht="15.75" customHeight="1">
      <c r="B121" s="37"/>
      <c r="C121" s="6"/>
      <c r="D121" s="6"/>
      <c r="E121" s="6"/>
      <c r="F121" s="6"/>
      <c r="G121" s="37"/>
      <c r="H121" s="37"/>
    </row>
    <row r="122" ht="15.75" customHeight="1">
      <c r="B122" s="37"/>
      <c r="C122" s="6"/>
      <c r="D122" s="6"/>
      <c r="E122" s="6"/>
      <c r="F122" s="6"/>
      <c r="G122" s="37"/>
      <c r="H122" s="37"/>
    </row>
    <row r="123" ht="15.75" customHeight="1">
      <c r="B123" s="37"/>
      <c r="C123" s="6"/>
      <c r="D123" s="6"/>
      <c r="E123" s="6"/>
      <c r="F123" s="6"/>
      <c r="G123" s="37"/>
      <c r="H123" s="37"/>
    </row>
    <row r="124" ht="15.75" customHeight="1">
      <c r="B124" s="37"/>
      <c r="C124" s="6"/>
      <c r="D124" s="6"/>
      <c r="E124" s="6"/>
      <c r="F124" s="6"/>
      <c r="G124" s="37"/>
      <c r="H124" s="37"/>
    </row>
    <row r="125" ht="15.75" customHeight="1">
      <c r="B125" s="37"/>
      <c r="C125" s="6"/>
      <c r="D125" s="6"/>
      <c r="E125" s="6"/>
      <c r="F125" s="6"/>
      <c r="G125" s="37"/>
      <c r="H125" s="37"/>
    </row>
    <row r="126" ht="15.75" customHeight="1">
      <c r="B126" s="37"/>
      <c r="C126" s="6"/>
      <c r="D126" s="6"/>
      <c r="E126" s="6"/>
      <c r="F126" s="6"/>
      <c r="G126" s="37"/>
      <c r="H126" s="37"/>
    </row>
    <row r="127" ht="15.75" customHeight="1">
      <c r="B127" s="37"/>
      <c r="C127" s="6"/>
      <c r="D127" s="6"/>
      <c r="E127" s="6"/>
      <c r="F127" s="6"/>
      <c r="G127" s="37"/>
      <c r="H127" s="37"/>
    </row>
    <row r="128" ht="15.75" customHeight="1">
      <c r="B128" s="37"/>
      <c r="C128" s="6"/>
      <c r="D128" s="6"/>
      <c r="E128" s="6"/>
      <c r="F128" s="6"/>
      <c r="G128" s="37"/>
      <c r="H128" s="37"/>
    </row>
    <row r="129" ht="15.75" customHeight="1">
      <c r="B129" s="37"/>
      <c r="C129" s="6"/>
      <c r="D129" s="6"/>
      <c r="E129" s="6"/>
      <c r="F129" s="6"/>
      <c r="G129" s="37"/>
      <c r="H129" s="37"/>
    </row>
    <row r="130" ht="15.75" customHeight="1">
      <c r="B130" s="37"/>
      <c r="C130" s="6"/>
      <c r="D130" s="6"/>
      <c r="E130" s="6"/>
      <c r="F130" s="6"/>
      <c r="G130" s="37"/>
      <c r="H130" s="37"/>
    </row>
    <row r="131" ht="15.75" customHeight="1">
      <c r="B131" s="37"/>
      <c r="C131" s="6"/>
      <c r="D131" s="6"/>
      <c r="E131" s="6"/>
      <c r="F131" s="6"/>
      <c r="G131" s="37"/>
      <c r="H131" s="37"/>
    </row>
    <row r="132" ht="15.75" customHeight="1">
      <c r="B132" s="37"/>
      <c r="C132" s="6"/>
      <c r="D132" s="6"/>
      <c r="E132" s="6"/>
      <c r="F132" s="6"/>
      <c r="G132" s="37"/>
      <c r="H132" s="37"/>
    </row>
    <row r="133" ht="15.75" customHeight="1">
      <c r="B133" s="37"/>
      <c r="C133" s="6"/>
      <c r="D133" s="6"/>
      <c r="E133" s="6"/>
      <c r="F133" s="6"/>
      <c r="G133" s="37"/>
      <c r="H133" s="37"/>
    </row>
    <row r="134" ht="15.75" customHeight="1">
      <c r="B134" s="37"/>
      <c r="C134" s="6"/>
      <c r="D134" s="6"/>
      <c r="E134" s="6"/>
      <c r="F134" s="6"/>
      <c r="G134" s="37"/>
      <c r="H134" s="37"/>
    </row>
    <row r="135" ht="15.75" customHeight="1">
      <c r="B135" s="37"/>
      <c r="C135" s="6"/>
      <c r="D135" s="6"/>
      <c r="E135" s="6"/>
      <c r="F135" s="6"/>
      <c r="G135" s="37"/>
      <c r="H135" s="37"/>
    </row>
    <row r="136" ht="15.75" customHeight="1">
      <c r="B136" s="37"/>
      <c r="C136" s="6"/>
      <c r="D136" s="6"/>
      <c r="E136" s="6"/>
      <c r="F136" s="6"/>
      <c r="G136" s="37"/>
      <c r="H136" s="37"/>
    </row>
    <row r="137" ht="15.75" customHeight="1">
      <c r="B137" s="37"/>
      <c r="C137" s="6"/>
      <c r="D137" s="6"/>
      <c r="E137" s="6"/>
      <c r="F137" s="6"/>
      <c r="G137" s="37"/>
      <c r="H137" s="37"/>
    </row>
    <row r="138" ht="15.75" customHeight="1">
      <c r="B138" s="37"/>
      <c r="C138" s="6"/>
      <c r="D138" s="6"/>
      <c r="E138" s="6"/>
      <c r="F138" s="6"/>
      <c r="G138" s="37"/>
      <c r="H138" s="37"/>
    </row>
    <row r="139" ht="15.75" customHeight="1">
      <c r="B139" s="37"/>
      <c r="C139" s="6"/>
      <c r="D139" s="6"/>
      <c r="E139" s="6"/>
      <c r="F139" s="6"/>
      <c r="G139" s="37"/>
      <c r="H139" s="37"/>
    </row>
    <row r="140" ht="15.75" customHeight="1">
      <c r="B140" s="37"/>
      <c r="C140" s="6"/>
      <c r="D140" s="6"/>
      <c r="E140" s="6"/>
      <c r="F140" s="6"/>
      <c r="G140" s="37"/>
      <c r="H140" s="37"/>
    </row>
    <row r="141" ht="15.75" customHeight="1">
      <c r="B141" s="37"/>
      <c r="C141" s="6"/>
      <c r="D141" s="6"/>
      <c r="E141" s="6"/>
      <c r="F141" s="6"/>
      <c r="G141" s="37"/>
      <c r="H141" s="37"/>
    </row>
    <row r="142" ht="15.75" customHeight="1">
      <c r="B142" s="37"/>
      <c r="C142" s="6"/>
      <c r="D142" s="6"/>
      <c r="E142" s="6"/>
      <c r="F142" s="6"/>
      <c r="G142" s="37"/>
      <c r="H142" s="37"/>
    </row>
    <row r="143" ht="15.75" customHeight="1">
      <c r="B143" s="37"/>
      <c r="C143" s="6"/>
      <c r="D143" s="6"/>
      <c r="E143" s="6"/>
      <c r="F143" s="6"/>
      <c r="G143" s="37"/>
      <c r="H143" s="37"/>
    </row>
    <row r="144" ht="15.75" customHeight="1">
      <c r="B144" s="37"/>
      <c r="C144" s="6"/>
      <c r="D144" s="6"/>
      <c r="E144" s="6"/>
      <c r="F144" s="6"/>
      <c r="G144" s="37"/>
      <c r="H144" s="37"/>
    </row>
    <row r="145" ht="15.75" customHeight="1">
      <c r="B145" s="37"/>
      <c r="C145" s="6"/>
      <c r="D145" s="6"/>
      <c r="E145" s="6"/>
      <c r="F145" s="6"/>
      <c r="G145" s="37"/>
      <c r="H145" s="37"/>
    </row>
    <row r="146" ht="15.75" customHeight="1">
      <c r="B146" s="37"/>
      <c r="C146" s="6"/>
      <c r="D146" s="6"/>
      <c r="E146" s="6"/>
      <c r="F146" s="6"/>
      <c r="G146" s="37"/>
      <c r="H146" s="37"/>
    </row>
    <row r="147" ht="15.75" customHeight="1">
      <c r="B147" s="37"/>
      <c r="C147" s="6"/>
      <c r="D147" s="6"/>
      <c r="E147" s="6"/>
      <c r="F147" s="6"/>
      <c r="G147" s="37"/>
      <c r="H147" s="37"/>
    </row>
    <row r="148" ht="15.75" customHeight="1">
      <c r="B148" s="37"/>
      <c r="C148" s="6"/>
      <c r="D148" s="6"/>
      <c r="E148" s="6"/>
      <c r="F148" s="6"/>
      <c r="G148" s="37"/>
      <c r="H148" s="37"/>
    </row>
    <row r="149" ht="15.75" customHeight="1">
      <c r="B149" s="37"/>
      <c r="C149" s="6"/>
      <c r="D149" s="6"/>
      <c r="E149" s="6"/>
      <c r="F149" s="6"/>
      <c r="G149" s="37"/>
      <c r="H149" s="37"/>
    </row>
    <row r="150" ht="15.75" customHeight="1">
      <c r="B150" s="37"/>
      <c r="C150" s="6"/>
      <c r="D150" s="6"/>
      <c r="E150" s="6"/>
      <c r="F150" s="6"/>
      <c r="G150" s="37"/>
      <c r="H150" s="37"/>
    </row>
    <row r="151" ht="15.75" customHeight="1">
      <c r="B151" s="37"/>
      <c r="C151" s="6"/>
      <c r="D151" s="6"/>
      <c r="E151" s="6"/>
      <c r="F151" s="6"/>
      <c r="G151" s="37"/>
      <c r="H151" s="37"/>
    </row>
    <row r="152" ht="15.75" customHeight="1">
      <c r="B152" s="37"/>
      <c r="C152" s="6"/>
      <c r="D152" s="6"/>
      <c r="E152" s="6"/>
      <c r="F152" s="6"/>
      <c r="G152" s="37"/>
      <c r="H152" s="37"/>
    </row>
    <row r="153" ht="15.75" customHeight="1">
      <c r="B153" s="37"/>
      <c r="C153" s="6"/>
      <c r="D153" s="6"/>
      <c r="E153" s="6"/>
      <c r="F153" s="6"/>
      <c r="G153" s="37"/>
      <c r="H153" s="37"/>
    </row>
    <row r="154" ht="15.75" customHeight="1">
      <c r="B154" s="37"/>
      <c r="C154" s="6"/>
      <c r="D154" s="6"/>
      <c r="E154" s="6"/>
      <c r="F154" s="6"/>
      <c r="G154" s="37"/>
      <c r="H154" s="37"/>
    </row>
    <row r="155" ht="15.75" customHeight="1">
      <c r="B155" s="37"/>
      <c r="C155" s="6"/>
      <c r="D155" s="6"/>
      <c r="E155" s="6"/>
      <c r="F155" s="6"/>
      <c r="G155" s="37"/>
      <c r="H155" s="37"/>
    </row>
    <row r="156" ht="15.75" customHeight="1">
      <c r="B156" s="37"/>
      <c r="C156" s="6"/>
      <c r="D156" s="6"/>
      <c r="E156" s="6"/>
      <c r="F156" s="6"/>
      <c r="G156" s="37"/>
      <c r="H156" s="37"/>
    </row>
    <row r="157" ht="15.75" customHeight="1">
      <c r="B157" s="37"/>
      <c r="C157" s="6"/>
      <c r="D157" s="6"/>
      <c r="E157" s="6"/>
      <c r="F157" s="6"/>
      <c r="G157" s="37"/>
      <c r="H157" s="37"/>
    </row>
    <row r="158" ht="15.75" customHeight="1">
      <c r="B158" s="37"/>
      <c r="C158" s="6"/>
      <c r="D158" s="6"/>
      <c r="E158" s="6"/>
      <c r="F158" s="6"/>
      <c r="G158" s="37"/>
      <c r="H158" s="37"/>
    </row>
    <row r="159" ht="15.75" customHeight="1">
      <c r="B159" s="37"/>
      <c r="C159" s="6"/>
      <c r="D159" s="6"/>
      <c r="E159" s="6"/>
      <c r="F159" s="6"/>
      <c r="G159" s="37"/>
      <c r="H159" s="37"/>
    </row>
    <row r="160" ht="15.75" customHeight="1">
      <c r="B160" s="37"/>
      <c r="C160" s="6"/>
      <c r="D160" s="6"/>
      <c r="E160" s="6"/>
      <c r="F160" s="6"/>
      <c r="G160" s="37"/>
      <c r="H160" s="37"/>
    </row>
    <row r="161" ht="15.75" customHeight="1">
      <c r="B161" s="37"/>
      <c r="C161" s="6"/>
      <c r="D161" s="6"/>
      <c r="E161" s="6"/>
      <c r="F161" s="6"/>
      <c r="G161" s="37"/>
      <c r="H161" s="37"/>
    </row>
    <row r="162" ht="15.75" customHeight="1">
      <c r="B162" s="37"/>
      <c r="C162" s="6"/>
      <c r="D162" s="6"/>
      <c r="E162" s="6"/>
      <c r="F162" s="6"/>
      <c r="G162" s="37"/>
      <c r="H162" s="37"/>
    </row>
    <row r="163" ht="15.75" customHeight="1">
      <c r="B163" s="37"/>
      <c r="C163" s="6"/>
      <c r="D163" s="6"/>
      <c r="E163" s="6"/>
      <c r="F163" s="6"/>
      <c r="G163" s="37"/>
      <c r="H163" s="37"/>
    </row>
    <row r="164" ht="15.75" customHeight="1">
      <c r="B164" s="37"/>
      <c r="C164" s="6"/>
      <c r="D164" s="6"/>
      <c r="E164" s="6"/>
      <c r="F164" s="6"/>
      <c r="G164" s="37"/>
      <c r="H164" s="37"/>
    </row>
    <row r="165" ht="15.75" customHeight="1">
      <c r="B165" s="37"/>
      <c r="C165" s="6"/>
      <c r="D165" s="6"/>
      <c r="E165" s="6"/>
      <c r="F165" s="6"/>
      <c r="G165" s="37"/>
      <c r="H165" s="37"/>
    </row>
    <row r="166" ht="15.75" customHeight="1">
      <c r="B166" s="37"/>
      <c r="C166" s="6"/>
      <c r="D166" s="6"/>
      <c r="E166" s="6"/>
      <c r="F166" s="6"/>
      <c r="G166" s="37"/>
      <c r="H166" s="37"/>
    </row>
    <row r="167" ht="15.75" customHeight="1">
      <c r="B167" s="37"/>
      <c r="C167" s="6"/>
      <c r="D167" s="6"/>
      <c r="E167" s="6"/>
      <c r="F167" s="6"/>
      <c r="G167" s="37"/>
      <c r="H167" s="37"/>
    </row>
    <row r="168" ht="15.75" customHeight="1">
      <c r="B168" s="37"/>
      <c r="C168" s="6"/>
      <c r="D168" s="6"/>
      <c r="E168" s="6"/>
      <c r="F168" s="6"/>
      <c r="G168" s="37"/>
      <c r="H168" s="37"/>
    </row>
    <row r="169" ht="15.75" customHeight="1">
      <c r="B169" s="37"/>
      <c r="C169" s="6"/>
      <c r="D169" s="6"/>
      <c r="E169" s="6"/>
      <c r="F169" s="6"/>
      <c r="G169" s="37"/>
      <c r="H169" s="37"/>
    </row>
    <row r="170" ht="15.75" customHeight="1">
      <c r="B170" s="37"/>
      <c r="C170" s="6"/>
      <c r="D170" s="6"/>
      <c r="E170" s="6"/>
      <c r="F170" s="6"/>
      <c r="G170" s="37"/>
      <c r="H170" s="37"/>
    </row>
    <row r="171" ht="15.75" customHeight="1">
      <c r="B171" s="37"/>
      <c r="C171" s="6"/>
      <c r="D171" s="6"/>
      <c r="E171" s="6"/>
      <c r="F171" s="6"/>
      <c r="G171" s="37"/>
      <c r="H171" s="37"/>
    </row>
    <row r="172" ht="15.75" customHeight="1">
      <c r="B172" s="37"/>
      <c r="C172" s="6"/>
      <c r="D172" s="6"/>
      <c r="E172" s="6"/>
      <c r="F172" s="6"/>
      <c r="G172" s="37"/>
      <c r="H172" s="37"/>
    </row>
    <row r="173" ht="15.75" customHeight="1">
      <c r="B173" s="37"/>
      <c r="C173" s="6"/>
      <c r="D173" s="6"/>
      <c r="E173" s="6"/>
      <c r="F173" s="6"/>
      <c r="G173" s="37"/>
      <c r="H173" s="37"/>
    </row>
    <row r="174" ht="15.75" customHeight="1">
      <c r="B174" s="37"/>
      <c r="C174" s="6"/>
      <c r="D174" s="6"/>
      <c r="E174" s="6"/>
      <c r="F174" s="6"/>
      <c r="G174" s="37"/>
      <c r="H174" s="37"/>
    </row>
    <row r="175" ht="15.75" customHeight="1">
      <c r="B175" s="37"/>
      <c r="C175" s="6"/>
      <c r="D175" s="6"/>
      <c r="E175" s="6"/>
      <c r="F175" s="6"/>
      <c r="G175" s="37"/>
      <c r="H175" s="37"/>
    </row>
    <row r="176" ht="15.75" customHeight="1">
      <c r="B176" s="37"/>
      <c r="C176" s="6"/>
      <c r="D176" s="6"/>
      <c r="E176" s="6"/>
      <c r="F176" s="6"/>
      <c r="G176" s="37"/>
      <c r="H176" s="37"/>
    </row>
    <row r="177" ht="15.75" customHeight="1">
      <c r="B177" s="37"/>
      <c r="C177" s="6"/>
      <c r="D177" s="6"/>
      <c r="E177" s="6"/>
      <c r="F177" s="6"/>
      <c r="G177" s="37"/>
      <c r="H177" s="37"/>
    </row>
    <row r="178" ht="15.75" customHeight="1">
      <c r="B178" s="37"/>
      <c r="C178" s="6"/>
      <c r="D178" s="6"/>
      <c r="E178" s="6"/>
      <c r="F178" s="6"/>
      <c r="G178" s="37"/>
      <c r="H178" s="37"/>
    </row>
    <row r="179" ht="15.75" customHeight="1">
      <c r="B179" s="37"/>
      <c r="C179" s="6"/>
      <c r="D179" s="6"/>
      <c r="E179" s="6"/>
      <c r="F179" s="6"/>
      <c r="G179" s="37"/>
      <c r="H179" s="37"/>
    </row>
    <row r="180" ht="15.75" customHeight="1">
      <c r="B180" s="37"/>
      <c r="C180" s="6"/>
      <c r="D180" s="6"/>
      <c r="E180" s="6"/>
      <c r="F180" s="6"/>
      <c r="G180" s="37"/>
      <c r="H180" s="37"/>
    </row>
    <row r="181" ht="15.75" customHeight="1">
      <c r="B181" s="37"/>
      <c r="C181" s="6"/>
      <c r="D181" s="6"/>
      <c r="E181" s="6"/>
      <c r="F181" s="6"/>
      <c r="G181" s="37"/>
      <c r="H181" s="37"/>
    </row>
    <row r="182" ht="15.75" customHeight="1">
      <c r="B182" s="37"/>
      <c r="C182" s="6"/>
      <c r="D182" s="6"/>
      <c r="E182" s="6"/>
      <c r="F182" s="6"/>
      <c r="G182" s="37"/>
      <c r="H182" s="37"/>
    </row>
    <row r="183" ht="15.75" customHeight="1">
      <c r="B183" s="37"/>
      <c r="C183" s="6"/>
      <c r="D183" s="6"/>
      <c r="E183" s="6"/>
      <c r="F183" s="6"/>
      <c r="G183" s="37"/>
      <c r="H183" s="37"/>
    </row>
    <row r="184" ht="15.75" customHeight="1">
      <c r="B184" s="37"/>
      <c r="C184" s="6"/>
      <c r="D184" s="6"/>
      <c r="E184" s="6"/>
      <c r="F184" s="6"/>
      <c r="G184" s="37"/>
      <c r="H184" s="37"/>
    </row>
    <row r="185" ht="15.75" customHeight="1">
      <c r="B185" s="37"/>
      <c r="C185" s="6"/>
      <c r="D185" s="6"/>
      <c r="E185" s="6"/>
      <c r="F185" s="6"/>
      <c r="G185" s="37"/>
      <c r="H185" s="37"/>
    </row>
    <row r="186" ht="15.75" customHeight="1">
      <c r="B186" s="37"/>
      <c r="C186" s="6"/>
      <c r="D186" s="6"/>
      <c r="E186" s="6"/>
      <c r="F186" s="6"/>
      <c r="G186" s="37"/>
      <c r="H186" s="37"/>
    </row>
    <row r="187" ht="15.75" customHeight="1">
      <c r="B187" s="37"/>
      <c r="C187" s="6"/>
      <c r="D187" s="6"/>
      <c r="E187" s="6"/>
      <c r="F187" s="6"/>
      <c r="G187" s="37"/>
      <c r="H187" s="37"/>
    </row>
    <row r="188" ht="15.75" customHeight="1">
      <c r="B188" s="37"/>
      <c r="C188" s="6"/>
      <c r="D188" s="6"/>
      <c r="E188" s="6"/>
      <c r="F188" s="6"/>
      <c r="G188" s="37"/>
      <c r="H188" s="37"/>
    </row>
    <row r="189" ht="15.75" customHeight="1">
      <c r="B189" s="37"/>
      <c r="C189" s="6"/>
      <c r="D189" s="6"/>
      <c r="E189" s="6"/>
      <c r="F189" s="6"/>
      <c r="G189" s="37"/>
      <c r="H189" s="37"/>
    </row>
    <row r="190" ht="15.75" customHeight="1">
      <c r="B190" s="37"/>
      <c r="C190" s="6"/>
      <c r="D190" s="6"/>
      <c r="E190" s="6"/>
      <c r="F190" s="6"/>
      <c r="G190" s="37"/>
      <c r="H190" s="37"/>
    </row>
    <row r="191" ht="15.75" customHeight="1">
      <c r="B191" s="37"/>
      <c r="C191" s="6"/>
      <c r="D191" s="6"/>
      <c r="E191" s="6"/>
      <c r="F191" s="6"/>
      <c r="G191" s="37"/>
      <c r="H191" s="37"/>
    </row>
    <row r="192" ht="15.75" customHeight="1">
      <c r="B192" s="37"/>
      <c r="C192" s="6"/>
      <c r="D192" s="6"/>
      <c r="E192" s="6"/>
      <c r="F192" s="6"/>
      <c r="G192" s="37"/>
      <c r="H192" s="37"/>
    </row>
    <row r="193" ht="15.75" customHeight="1">
      <c r="B193" s="37"/>
      <c r="C193" s="6"/>
      <c r="D193" s="6"/>
      <c r="E193" s="6"/>
      <c r="F193" s="6"/>
      <c r="G193" s="37"/>
      <c r="H193" s="37"/>
    </row>
    <row r="194" ht="15.75" customHeight="1">
      <c r="B194" s="37"/>
      <c r="C194" s="6"/>
      <c r="D194" s="6"/>
      <c r="E194" s="6"/>
      <c r="F194" s="6"/>
      <c r="G194" s="37"/>
      <c r="H194" s="37"/>
    </row>
    <row r="195" ht="15.75" customHeight="1">
      <c r="B195" s="37"/>
      <c r="C195" s="6"/>
      <c r="D195" s="6"/>
      <c r="E195" s="6"/>
      <c r="F195" s="6"/>
      <c r="G195" s="37"/>
      <c r="H195" s="37"/>
    </row>
    <row r="196" ht="15.75" customHeight="1">
      <c r="B196" s="37"/>
      <c r="C196" s="6"/>
      <c r="D196" s="6"/>
      <c r="E196" s="6"/>
      <c r="F196" s="6"/>
      <c r="G196" s="37"/>
      <c r="H196" s="37"/>
    </row>
    <row r="197" ht="15.75" customHeight="1">
      <c r="B197" s="37"/>
      <c r="C197" s="6"/>
      <c r="D197" s="6"/>
      <c r="E197" s="6"/>
      <c r="F197" s="6"/>
      <c r="G197" s="37"/>
      <c r="H197" s="37"/>
    </row>
    <row r="198" ht="15.75" customHeight="1">
      <c r="B198" s="37"/>
      <c r="C198" s="6"/>
      <c r="D198" s="6"/>
      <c r="E198" s="6"/>
      <c r="F198" s="6"/>
      <c r="G198" s="37"/>
      <c r="H198" s="37"/>
    </row>
    <row r="199" ht="15.75" customHeight="1">
      <c r="B199" s="37"/>
      <c r="C199" s="6"/>
      <c r="D199" s="6"/>
      <c r="E199" s="6"/>
      <c r="F199" s="6"/>
      <c r="G199" s="37"/>
      <c r="H199" s="37"/>
    </row>
    <row r="200" ht="15.75" customHeight="1">
      <c r="B200" s="37"/>
      <c r="C200" s="6"/>
      <c r="D200" s="6"/>
      <c r="E200" s="6"/>
      <c r="F200" s="6"/>
      <c r="G200" s="37"/>
      <c r="H200" s="37"/>
    </row>
    <row r="201" ht="15.75" customHeight="1">
      <c r="B201" s="37"/>
      <c r="C201" s="6"/>
      <c r="D201" s="6"/>
      <c r="E201" s="6"/>
      <c r="F201" s="6"/>
      <c r="G201" s="37"/>
      <c r="H201" s="37"/>
    </row>
    <row r="202" ht="15.75" customHeight="1">
      <c r="B202" s="37"/>
      <c r="C202" s="6"/>
      <c r="D202" s="6"/>
      <c r="E202" s="6"/>
      <c r="F202" s="6"/>
      <c r="G202" s="37"/>
      <c r="H202" s="37"/>
    </row>
    <row r="203" ht="15.75" customHeight="1">
      <c r="B203" s="37"/>
      <c r="C203" s="6"/>
      <c r="D203" s="6"/>
      <c r="E203" s="6"/>
      <c r="F203" s="6"/>
      <c r="G203" s="37"/>
      <c r="H203" s="37"/>
    </row>
    <row r="204" ht="15.75" customHeight="1">
      <c r="B204" s="37"/>
      <c r="C204" s="6"/>
      <c r="D204" s="6"/>
      <c r="E204" s="6"/>
      <c r="F204" s="6"/>
      <c r="G204" s="37"/>
      <c r="H204" s="37"/>
    </row>
    <row r="205" ht="15.75" customHeight="1">
      <c r="B205" s="37"/>
      <c r="C205" s="6"/>
      <c r="D205" s="6"/>
      <c r="E205" s="6"/>
      <c r="F205" s="6"/>
      <c r="G205" s="37"/>
      <c r="H205" s="37"/>
    </row>
    <row r="206" ht="15.75" customHeight="1">
      <c r="B206" s="37"/>
      <c r="C206" s="6"/>
      <c r="D206" s="6"/>
      <c r="E206" s="6"/>
      <c r="F206" s="6"/>
      <c r="G206" s="37"/>
      <c r="H206" s="37"/>
    </row>
    <row r="207" ht="15.75" customHeight="1">
      <c r="B207" s="37"/>
      <c r="C207" s="6"/>
      <c r="D207" s="6"/>
      <c r="E207" s="6"/>
      <c r="F207" s="6"/>
      <c r="G207" s="37"/>
      <c r="H207" s="37"/>
    </row>
    <row r="208" ht="15.75" customHeight="1">
      <c r="B208" s="37"/>
      <c r="C208" s="6"/>
      <c r="D208" s="6"/>
      <c r="E208" s="6"/>
      <c r="F208" s="6"/>
      <c r="G208" s="37"/>
      <c r="H208" s="37"/>
    </row>
    <row r="209" ht="15.75" customHeight="1">
      <c r="B209" s="37"/>
      <c r="C209" s="6"/>
      <c r="D209" s="6"/>
      <c r="E209" s="6"/>
      <c r="F209" s="6"/>
      <c r="G209" s="37"/>
      <c r="H209" s="37"/>
    </row>
    <row r="210" ht="15.75" customHeight="1">
      <c r="B210" s="37"/>
      <c r="C210" s="6"/>
      <c r="D210" s="6"/>
      <c r="E210" s="6"/>
      <c r="F210" s="6"/>
      <c r="G210" s="37"/>
      <c r="H210" s="37"/>
    </row>
    <row r="211" ht="15.75" customHeight="1">
      <c r="B211" s="37"/>
      <c r="C211" s="6"/>
      <c r="D211" s="6"/>
      <c r="E211" s="6"/>
      <c r="F211" s="6"/>
      <c r="G211" s="37"/>
      <c r="H211" s="37"/>
    </row>
    <row r="212" ht="15.75" customHeight="1">
      <c r="B212" s="37"/>
      <c r="C212" s="6"/>
      <c r="D212" s="6"/>
      <c r="E212" s="6"/>
      <c r="F212" s="6"/>
      <c r="G212" s="37"/>
      <c r="H212" s="37"/>
    </row>
    <row r="213" ht="15.75" customHeight="1">
      <c r="B213" s="37"/>
      <c r="C213" s="6"/>
      <c r="D213" s="6"/>
      <c r="E213" s="6"/>
      <c r="F213" s="6"/>
      <c r="G213" s="37"/>
      <c r="H213" s="37"/>
    </row>
    <row r="214" ht="15.75" customHeight="1">
      <c r="B214" s="37"/>
      <c r="C214" s="6"/>
      <c r="D214" s="6"/>
      <c r="E214" s="6"/>
      <c r="F214" s="6"/>
      <c r="G214" s="37"/>
      <c r="H214" s="37"/>
    </row>
    <row r="215" ht="15.75" customHeight="1">
      <c r="B215" s="37"/>
      <c r="C215" s="6"/>
      <c r="D215" s="6"/>
      <c r="E215" s="6"/>
      <c r="F215" s="6"/>
      <c r="G215" s="37"/>
      <c r="H215" s="37"/>
    </row>
    <row r="216" ht="15.75" customHeight="1">
      <c r="B216" s="37"/>
      <c r="C216" s="6"/>
      <c r="D216" s="6"/>
      <c r="E216" s="6"/>
      <c r="F216" s="6"/>
      <c r="G216" s="37"/>
      <c r="H216" s="37"/>
    </row>
    <row r="217" ht="15.75" customHeight="1">
      <c r="B217" s="37"/>
      <c r="C217" s="6"/>
      <c r="D217" s="6"/>
      <c r="E217" s="6"/>
      <c r="F217" s="6"/>
      <c r="G217" s="37"/>
      <c r="H217" s="37"/>
    </row>
    <row r="218" ht="15.75" customHeight="1">
      <c r="B218" s="37"/>
      <c r="C218" s="6"/>
      <c r="D218" s="6"/>
      <c r="E218" s="6"/>
      <c r="F218" s="6"/>
      <c r="G218" s="37"/>
      <c r="H218" s="37"/>
    </row>
    <row r="219" ht="15.75" customHeight="1">
      <c r="B219" s="37"/>
      <c r="C219" s="6"/>
      <c r="D219" s="6"/>
      <c r="E219" s="6"/>
      <c r="F219" s="6"/>
      <c r="G219" s="37"/>
      <c r="H219" s="37"/>
    </row>
    <row r="220" ht="15.75" customHeight="1">
      <c r="B220" s="37"/>
      <c r="C220" s="6"/>
      <c r="D220" s="6"/>
      <c r="E220" s="6"/>
      <c r="F220" s="6"/>
      <c r="G220" s="37"/>
      <c r="H220" s="37"/>
    </row>
    <row r="221" ht="15.75" customHeight="1">
      <c r="B221" s="37"/>
      <c r="C221" s="6"/>
      <c r="D221" s="6"/>
      <c r="E221" s="6"/>
      <c r="F221" s="6"/>
      <c r="G221" s="37"/>
      <c r="H221" s="37"/>
    </row>
    <row r="222" ht="15.75" customHeight="1">
      <c r="B222" s="37"/>
      <c r="C222" s="6"/>
      <c r="D222" s="6"/>
      <c r="E222" s="6"/>
      <c r="F222" s="6"/>
      <c r="G222" s="37"/>
      <c r="H222" s="37"/>
    </row>
    <row r="223" ht="15.75" customHeight="1">
      <c r="B223" s="37"/>
      <c r="C223" s="6"/>
      <c r="D223" s="6"/>
      <c r="E223" s="6"/>
      <c r="F223" s="6"/>
      <c r="G223" s="37"/>
      <c r="H223" s="37"/>
    </row>
    <row r="224" ht="15.75" customHeight="1">
      <c r="B224" s="37"/>
      <c r="C224" s="6"/>
      <c r="D224" s="6"/>
      <c r="E224" s="6"/>
      <c r="F224" s="6"/>
      <c r="G224" s="37"/>
      <c r="H224" s="37"/>
    </row>
    <row r="225" ht="15.75" customHeight="1">
      <c r="B225" s="37"/>
      <c r="C225" s="6"/>
      <c r="D225" s="6"/>
      <c r="E225" s="6"/>
      <c r="F225" s="6"/>
      <c r="G225" s="37"/>
      <c r="H225" s="37"/>
    </row>
    <row r="226" ht="15.75" customHeight="1">
      <c r="B226" s="37"/>
      <c r="C226" s="6"/>
      <c r="D226" s="6"/>
      <c r="E226" s="6"/>
      <c r="F226" s="6"/>
      <c r="G226" s="37"/>
      <c r="H226" s="37"/>
    </row>
    <row r="227" ht="15.75" customHeight="1">
      <c r="B227" s="37"/>
      <c r="C227" s="6"/>
      <c r="D227" s="6"/>
      <c r="E227" s="6"/>
      <c r="F227" s="6"/>
      <c r="G227" s="37"/>
      <c r="H227" s="37"/>
    </row>
    <row r="228" ht="15.75" customHeight="1">
      <c r="B228" s="37"/>
      <c r="C228" s="6"/>
      <c r="D228" s="6"/>
      <c r="E228" s="6"/>
      <c r="F228" s="6"/>
      <c r="G228" s="37"/>
      <c r="H228" s="37"/>
    </row>
    <row r="229" ht="15.75" customHeight="1">
      <c r="B229" s="37"/>
      <c r="C229" s="6"/>
      <c r="D229" s="6"/>
      <c r="E229" s="6"/>
      <c r="F229" s="6"/>
      <c r="G229" s="37"/>
      <c r="H229" s="37"/>
    </row>
    <row r="230" ht="15.75" customHeight="1">
      <c r="B230" s="37"/>
      <c r="C230" s="6"/>
      <c r="D230" s="6"/>
      <c r="E230" s="6"/>
      <c r="F230" s="6"/>
      <c r="G230" s="37"/>
      <c r="H230" s="37"/>
    </row>
    <row r="231" ht="15.75" customHeight="1">
      <c r="B231" s="37"/>
      <c r="C231" s="6"/>
      <c r="D231" s="6"/>
      <c r="E231" s="6"/>
      <c r="F231" s="6"/>
      <c r="G231" s="37"/>
      <c r="H231" s="37"/>
    </row>
    <row r="232" ht="15.75" customHeight="1">
      <c r="B232" s="37"/>
      <c r="C232" s="6"/>
      <c r="D232" s="6"/>
      <c r="E232" s="6"/>
      <c r="F232" s="6"/>
      <c r="G232" s="37"/>
      <c r="H232" s="37"/>
    </row>
    <row r="233" ht="15.75" customHeight="1">
      <c r="B233" s="37"/>
      <c r="C233" s="6"/>
      <c r="D233" s="6"/>
      <c r="E233" s="6"/>
      <c r="F233" s="6"/>
      <c r="G233" s="37"/>
      <c r="H233" s="37"/>
    </row>
    <row r="234" ht="15.75" customHeight="1">
      <c r="B234" s="37"/>
      <c r="C234" s="6"/>
      <c r="D234" s="6"/>
      <c r="E234" s="6"/>
      <c r="F234" s="6"/>
      <c r="G234" s="37"/>
      <c r="H234" s="37"/>
    </row>
    <row r="235" ht="15.75" customHeight="1">
      <c r="B235" s="37"/>
      <c r="C235" s="6"/>
      <c r="D235" s="6"/>
      <c r="E235" s="6"/>
      <c r="F235" s="6"/>
      <c r="G235" s="37"/>
      <c r="H235" s="37"/>
    </row>
    <row r="236" ht="15.75" customHeight="1">
      <c r="B236" s="37"/>
      <c r="C236" s="6"/>
      <c r="D236" s="6"/>
      <c r="E236" s="6"/>
      <c r="F236" s="6"/>
      <c r="G236" s="37"/>
      <c r="H236" s="37"/>
    </row>
    <row r="237" ht="15.75" customHeight="1">
      <c r="B237" s="37"/>
      <c r="C237" s="6"/>
      <c r="D237" s="6"/>
      <c r="E237" s="6"/>
      <c r="F237" s="6"/>
      <c r="G237" s="37"/>
      <c r="H237" s="37"/>
    </row>
    <row r="238" ht="15.75" customHeight="1">
      <c r="B238" s="37"/>
      <c r="C238" s="6"/>
      <c r="D238" s="6"/>
      <c r="E238" s="6"/>
      <c r="F238" s="6"/>
      <c r="G238" s="37"/>
      <c r="H238" s="37"/>
    </row>
    <row r="239" ht="15.75" customHeight="1">
      <c r="B239" s="37"/>
      <c r="C239" s="6"/>
      <c r="D239" s="6"/>
      <c r="E239" s="6"/>
      <c r="F239" s="6"/>
      <c r="G239" s="37"/>
      <c r="H239" s="37"/>
    </row>
    <row r="240" ht="15.75" customHeight="1">
      <c r="B240" s="37"/>
      <c r="C240" s="6"/>
      <c r="D240" s="6"/>
      <c r="E240" s="6"/>
      <c r="F240" s="6"/>
      <c r="G240" s="37"/>
      <c r="H240" s="37"/>
    </row>
    <row r="241" ht="15.75" customHeight="1">
      <c r="B241" s="37"/>
      <c r="C241" s="6"/>
      <c r="D241" s="6"/>
      <c r="E241" s="6"/>
      <c r="F241" s="6"/>
      <c r="G241" s="37"/>
      <c r="H241" s="37"/>
    </row>
    <row r="242" ht="15.75" customHeight="1">
      <c r="B242" s="37"/>
      <c r="C242" s="6"/>
      <c r="D242" s="6"/>
      <c r="E242" s="6"/>
      <c r="F242" s="6"/>
      <c r="G242" s="37"/>
      <c r="H242" s="37"/>
    </row>
    <row r="243" ht="15.75" customHeight="1">
      <c r="B243" s="37"/>
      <c r="C243" s="6"/>
      <c r="D243" s="6"/>
      <c r="E243" s="6"/>
      <c r="F243" s="6"/>
      <c r="G243" s="37"/>
      <c r="H243" s="37"/>
    </row>
    <row r="244" ht="15.75" customHeight="1">
      <c r="B244" s="37"/>
      <c r="C244" s="6"/>
      <c r="D244" s="6"/>
      <c r="E244" s="6"/>
      <c r="F244" s="6"/>
      <c r="G244" s="37"/>
      <c r="H244" s="37"/>
    </row>
    <row r="245" ht="15.75" customHeight="1">
      <c r="B245" s="37"/>
      <c r="C245" s="6"/>
      <c r="D245" s="6"/>
      <c r="E245" s="6"/>
      <c r="F245" s="6"/>
      <c r="G245" s="37"/>
      <c r="H245" s="37"/>
    </row>
    <row r="246" ht="15.75" customHeight="1">
      <c r="B246" s="37"/>
      <c r="C246" s="6"/>
      <c r="D246" s="6"/>
      <c r="E246" s="6"/>
      <c r="F246" s="6"/>
      <c r="G246" s="37"/>
      <c r="H246" s="37"/>
    </row>
    <row r="247" ht="15.75" customHeight="1">
      <c r="B247" s="37"/>
      <c r="C247" s="6"/>
      <c r="D247" s="6"/>
      <c r="E247" s="6"/>
      <c r="F247" s="6"/>
      <c r="G247" s="37"/>
      <c r="H247" s="37"/>
    </row>
    <row r="248" ht="15.75" customHeight="1">
      <c r="B248" s="37"/>
      <c r="C248" s="6"/>
      <c r="D248" s="6"/>
      <c r="E248" s="6"/>
      <c r="F248" s="6"/>
      <c r="G248" s="37"/>
      <c r="H248" s="37"/>
    </row>
    <row r="249" ht="15.75" customHeight="1">
      <c r="B249" s="37"/>
      <c r="C249" s="6"/>
      <c r="D249" s="6"/>
      <c r="E249" s="6"/>
      <c r="F249" s="6"/>
      <c r="G249" s="37"/>
      <c r="H249" s="37"/>
    </row>
    <row r="250" ht="15.75" customHeight="1">
      <c r="B250" s="37"/>
      <c r="C250" s="6"/>
      <c r="D250" s="6"/>
      <c r="E250" s="6"/>
      <c r="F250" s="6"/>
      <c r="G250" s="37"/>
      <c r="H250" s="37"/>
    </row>
    <row r="251" ht="15.75" customHeight="1">
      <c r="B251" s="37"/>
      <c r="C251" s="6"/>
      <c r="D251" s="6"/>
      <c r="E251" s="6"/>
      <c r="F251" s="6"/>
      <c r="G251" s="37"/>
      <c r="H251" s="37"/>
    </row>
    <row r="252" ht="15.75" customHeight="1">
      <c r="B252" s="37"/>
      <c r="C252" s="6"/>
      <c r="D252" s="6"/>
      <c r="E252" s="6"/>
      <c r="F252" s="6"/>
      <c r="G252" s="37"/>
      <c r="H252" s="37"/>
    </row>
    <row r="253" ht="15.75" customHeight="1">
      <c r="B253" s="37"/>
      <c r="C253" s="6"/>
      <c r="D253" s="6"/>
      <c r="E253" s="6"/>
      <c r="F253" s="6"/>
      <c r="G253" s="37"/>
      <c r="H253" s="37"/>
    </row>
    <row r="254" ht="15.75" customHeight="1">
      <c r="B254" s="37"/>
      <c r="C254" s="6"/>
      <c r="D254" s="6"/>
      <c r="E254" s="6"/>
      <c r="F254" s="6"/>
      <c r="G254" s="37"/>
      <c r="H254" s="37"/>
    </row>
    <row r="255" ht="15.75" customHeight="1">
      <c r="B255" s="37"/>
      <c r="C255" s="6"/>
      <c r="D255" s="6"/>
      <c r="E255" s="6"/>
      <c r="F255" s="6"/>
      <c r="G255" s="37"/>
      <c r="H255" s="37"/>
    </row>
    <row r="256" ht="15.75" customHeight="1">
      <c r="B256" s="37"/>
      <c r="C256" s="6"/>
      <c r="D256" s="6"/>
      <c r="E256" s="6"/>
      <c r="F256" s="6"/>
      <c r="G256" s="37"/>
      <c r="H256" s="37"/>
    </row>
    <row r="257" ht="15.75" customHeight="1">
      <c r="B257" s="37"/>
      <c r="C257" s="6"/>
      <c r="D257" s="6"/>
      <c r="E257" s="6"/>
      <c r="F257" s="6"/>
      <c r="G257" s="37"/>
      <c r="H257" s="37"/>
    </row>
    <row r="258" ht="15.75" customHeight="1">
      <c r="B258" s="37"/>
      <c r="C258" s="6"/>
      <c r="D258" s="6"/>
      <c r="E258" s="6"/>
      <c r="F258" s="6"/>
      <c r="G258" s="37"/>
      <c r="H258" s="37"/>
    </row>
    <row r="259" ht="15.75" customHeight="1">
      <c r="B259" s="37"/>
      <c r="C259" s="6"/>
      <c r="D259" s="6"/>
      <c r="E259" s="6"/>
      <c r="F259" s="6"/>
      <c r="G259" s="37"/>
      <c r="H259" s="37"/>
    </row>
    <row r="260" ht="15.75" customHeight="1">
      <c r="B260" s="37"/>
      <c r="C260" s="6"/>
      <c r="D260" s="6"/>
      <c r="E260" s="6"/>
      <c r="F260" s="6"/>
      <c r="G260" s="37"/>
      <c r="H260" s="37"/>
    </row>
    <row r="261" ht="15.75" customHeight="1">
      <c r="B261" s="37"/>
      <c r="C261" s="6"/>
      <c r="D261" s="6"/>
      <c r="E261" s="6"/>
      <c r="F261" s="6"/>
      <c r="G261" s="37"/>
      <c r="H261" s="37"/>
    </row>
    <row r="262" ht="15.75" customHeight="1">
      <c r="B262" s="37"/>
      <c r="C262" s="6"/>
      <c r="D262" s="6"/>
      <c r="E262" s="6"/>
      <c r="F262" s="6"/>
      <c r="G262" s="37"/>
      <c r="H262" s="37"/>
    </row>
    <row r="263" ht="15.75" customHeight="1">
      <c r="B263" s="37"/>
      <c r="C263" s="6"/>
      <c r="D263" s="6"/>
      <c r="E263" s="6"/>
      <c r="F263" s="6"/>
      <c r="G263" s="37"/>
      <c r="H263" s="37"/>
    </row>
    <row r="264" ht="15.75" customHeight="1">
      <c r="B264" s="37"/>
      <c r="C264" s="6"/>
      <c r="D264" s="6"/>
      <c r="E264" s="6"/>
      <c r="F264" s="6"/>
      <c r="G264" s="37"/>
      <c r="H264" s="37"/>
    </row>
    <row r="265" ht="15.75" customHeight="1">
      <c r="B265" s="37"/>
      <c r="C265" s="6"/>
      <c r="D265" s="6"/>
      <c r="E265" s="6"/>
      <c r="F265" s="6"/>
      <c r="G265" s="37"/>
      <c r="H265" s="37"/>
    </row>
    <row r="266" ht="15.75" customHeight="1">
      <c r="B266" s="37"/>
      <c r="C266" s="6"/>
      <c r="D266" s="6"/>
      <c r="E266" s="6"/>
      <c r="F266" s="6"/>
      <c r="G266" s="37"/>
      <c r="H266" s="37"/>
    </row>
    <row r="267" ht="15.75" customHeight="1">
      <c r="B267" s="37"/>
      <c r="C267" s="6"/>
      <c r="D267" s="6"/>
      <c r="E267" s="6"/>
      <c r="F267" s="6"/>
      <c r="G267" s="37"/>
      <c r="H267" s="37"/>
    </row>
    <row r="268" ht="15.75" customHeight="1">
      <c r="B268" s="37"/>
      <c r="C268" s="6"/>
      <c r="D268" s="6"/>
      <c r="E268" s="6"/>
      <c r="F268" s="6"/>
      <c r="G268" s="37"/>
      <c r="H268" s="37"/>
    </row>
    <row r="269" ht="15.75" customHeight="1">
      <c r="B269" s="37"/>
      <c r="C269" s="6"/>
      <c r="D269" s="6"/>
      <c r="E269" s="6"/>
      <c r="F269" s="6"/>
      <c r="G269" s="37"/>
      <c r="H269" s="37"/>
    </row>
    <row r="270" ht="15.75" customHeight="1">
      <c r="B270" s="37"/>
      <c r="C270" s="6"/>
      <c r="D270" s="6"/>
      <c r="E270" s="6"/>
      <c r="F270" s="6"/>
      <c r="G270" s="37"/>
      <c r="H270" s="37"/>
    </row>
    <row r="271" ht="15.75" customHeight="1">
      <c r="B271" s="37"/>
      <c r="C271" s="6"/>
      <c r="D271" s="6"/>
      <c r="E271" s="6"/>
      <c r="F271" s="6"/>
      <c r="G271" s="37"/>
      <c r="H271" s="37"/>
    </row>
    <row r="272" ht="15.75" customHeight="1">
      <c r="B272" s="37"/>
      <c r="C272" s="6"/>
      <c r="D272" s="6"/>
      <c r="E272" s="6"/>
      <c r="F272" s="6"/>
      <c r="G272" s="37"/>
      <c r="H272" s="37"/>
    </row>
    <row r="273" ht="15.75" customHeight="1">
      <c r="B273" s="37"/>
      <c r="C273" s="6"/>
      <c r="D273" s="6"/>
      <c r="E273" s="6"/>
      <c r="F273" s="6"/>
      <c r="G273" s="37"/>
      <c r="H273" s="37"/>
    </row>
    <row r="274" ht="15.75" customHeight="1">
      <c r="B274" s="37"/>
      <c r="C274" s="6"/>
      <c r="D274" s="6"/>
      <c r="E274" s="6"/>
      <c r="F274" s="6"/>
      <c r="G274" s="37"/>
      <c r="H274" s="37"/>
    </row>
    <row r="275" ht="15.75" customHeight="1">
      <c r="B275" s="37"/>
      <c r="C275" s="6"/>
      <c r="D275" s="6"/>
      <c r="E275" s="6"/>
      <c r="F275" s="6"/>
      <c r="G275" s="37"/>
      <c r="H275" s="37"/>
    </row>
    <row r="276" ht="15.75" customHeight="1">
      <c r="B276" s="37"/>
      <c r="C276" s="6"/>
      <c r="D276" s="6"/>
      <c r="E276" s="6"/>
      <c r="F276" s="6"/>
      <c r="G276" s="37"/>
      <c r="H276" s="37"/>
    </row>
    <row r="277" ht="15.75" customHeight="1">
      <c r="B277" s="37"/>
      <c r="C277" s="6"/>
      <c r="D277" s="6"/>
      <c r="E277" s="6"/>
      <c r="F277" s="6"/>
      <c r="G277" s="37"/>
      <c r="H277" s="37"/>
    </row>
    <row r="278" ht="15.75" customHeight="1">
      <c r="B278" s="37"/>
      <c r="C278" s="6"/>
      <c r="D278" s="6"/>
      <c r="E278" s="6"/>
      <c r="F278" s="6"/>
      <c r="G278" s="37"/>
      <c r="H278" s="37"/>
    </row>
    <row r="279" ht="15.75" customHeight="1">
      <c r="B279" s="37"/>
      <c r="C279" s="6"/>
      <c r="D279" s="6"/>
      <c r="E279" s="6"/>
      <c r="F279" s="6"/>
      <c r="G279" s="37"/>
      <c r="H279" s="37"/>
    </row>
    <row r="280" ht="15.75" customHeight="1">
      <c r="B280" s="37"/>
      <c r="C280" s="6"/>
      <c r="D280" s="6"/>
      <c r="E280" s="6"/>
      <c r="F280" s="6"/>
      <c r="G280" s="37"/>
      <c r="H280" s="37"/>
    </row>
    <row r="281" ht="15.75" customHeight="1">
      <c r="B281" s="37"/>
      <c r="C281" s="6"/>
      <c r="D281" s="6"/>
      <c r="E281" s="6"/>
      <c r="F281" s="6"/>
      <c r="G281" s="37"/>
      <c r="H281" s="37"/>
    </row>
    <row r="282" ht="15.75" customHeight="1">
      <c r="B282" s="37"/>
      <c r="C282" s="6"/>
      <c r="D282" s="6"/>
      <c r="E282" s="6"/>
      <c r="F282" s="6"/>
      <c r="G282" s="37"/>
      <c r="H282" s="37"/>
    </row>
    <row r="283" ht="15.75" customHeight="1">
      <c r="B283" s="37"/>
      <c r="C283" s="6"/>
      <c r="D283" s="6"/>
      <c r="E283" s="6"/>
      <c r="F283" s="6"/>
      <c r="G283" s="37"/>
      <c r="H283" s="37"/>
    </row>
    <row r="284" ht="15.75" customHeight="1">
      <c r="B284" s="37"/>
      <c r="C284" s="6"/>
      <c r="D284" s="6"/>
      <c r="E284" s="6"/>
      <c r="F284" s="6"/>
      <c r="G284" s="37"/>
      <c r="H284" s="37"/>
    </row>
    <row r="285" ht="15.75" customHeight="1">
      <c r="B285" s="37"/>
      <c r="C285" s="6"/>
      <c r="D285" s="6"/>
      <c r="E285" s="6"/>
      <c r="F285" s="6"/>
      <c r="G285" s="37"/>
      <c r="H285" s="37"/>
    </row>
    <row r="286" ht="15.75" customHeight="1">
      <c r="B286" s="37"/>
      <c r="C286" s="6"/>
      <c r="D286" s="6"/>
      <c r="E286" s="6"/>
      <c r="F286" s="6"/>
      <c r="G286" s="37"/>
      <c r="H286" s="37"/>
    </row>
    <row r="287" ht="15.75" customHeight="1">
      <c r="B287" s="37"/>
      <c r="C287" s="6"/>
      <c r="D287" s="6"/>
      <c r="E287" s="6"/>
      <c r="F287" s="6"/>
      <c r="G287" s="37"/>
      <c r="H287" s="37"/>
    </row>
    <row r="288" ht="15.75" customHeight="1">
      <c r="B288" s="37"/>
      <c r="C288" s="6"/>
      <c r="D288" s="6"/>
      <c r="E288" s="6"/>
      <c r="F288" s="6"/>
      <c r="G288" s="37"/>
      <c r="H288" s="37"/>
    </row>
    <row r="289" ht="15.75" customHeight="1">
      <c r="B289" s="37"/>
      <c r="C289" s="6"/>
      <c r="D289" s="6"/>
      <c r="E289" s="6"/>
      <c r="F289" s="6"/>
      <c r="G289" s="37"/>
      <c r="H289" s="37"/>
    </row>
    <row r="290" ht="15.75" customHeight="1">
      <c r="B290" s="37"/>
      <c r="C290" s="6"/>
      <c r="D290" s="6"/>
      <c r="E290" s="6"/>
      <c r="F290" s="6"/>
      <c r="G290" s="37"/>
      <c r="H290" s="37"/>
    </row>
    <row r="291" ht="15.75" customHeight="1">
      <c r="B291" s="37"/>
      <c r="C291" s="6"/>
      <c r="D291" s="6"/>
      <c r="E291" s="6"/>
      <c r="F291" s="6"/>
      <c r="G291" s="37"/>
      <c r="H291" s="37"/>
    </row>
    <row r="292" ht="15.75" customHeight="1">
      <c r="B292" s="37"/>
      <c r="C292" s="6"/>
      <c r="D292" s="6"/>
      <c r="E292" s="6"/>
      <c r="F292" s="6"/>
      <c r="G292" s="37"/>
      <c r="H292" s="37"/>
    </row>
    <row r="293" ht="15.75" customHeight="1">
      <c r="B293" s="37"/>
      <c r="C293" s="6"/>
      <c r="D293" s="6"/>
      <c r="E293" s="6"/>
      <c r="F293" s="6"/>
      <c r="G293" s="37"/>
      <c r="H293" s="37"/>
    </row>
    <row r="294" ht="15.75" customHeight="1">
      <c r="B294" s="37"/>
      <c r="C294" s="6"/>
      <c r="D294" s="6"/>
      <c r="E294" s="6"/>
      <c r="F294" s="6"/>
      <c r="G294" s="37"/>
      <c r="H294" s="37"/>
    </row>
    <row r="295" ht="15.75" customHeight="1">
      <c r="B295" s="37"/>
      <c r="C295" s="6"/>
      <c r="D295" s="6"/>
      <c r="E295" s="6"/>
      <c r="F295" s="6"/>
      <c r="G295" s="37"/>
      <c r="H295" s="37"/>
    </row>
    <row r="296" ht="15.75" customHeight="1">
      <c r="B296" s="37"/>
      <c r="C296" s="6"/>
      <c r="D296" s="6"/>
      <c r="E296" s="6"/>
      <c r="F296" s="6"/>
      <c r="G296" s="37"/>
      <c r="H296" s="37"/>
    </row>
    <row r="297" ht="15.75" customHeight="1">
      <c r="B297" s="37"/>
      <c r="C297" s="6"/>
      <c r="D297" s="6"/>
      <c r="E297" s="6"/>
      <c r="F297" s="6"/>
      <c r="G297" s="37"/>
      <c r="H297" s="37"/>
    </row>
    <row r="298" ht="15.75" customHeight="1">
      <c r="B298" s="37"/>
      <c r="C298" s="6"/>
      <c r="D298" s="6"/>
      <c r="E298" s="6"/>
      <c r="F298" s="6"/>
      <c r="G298" s="37"/>
      <c r="H298" s="37"/>
    </row>
    <row r="299" ht="15.75" customHeight="1">
      <c r="B299" s="37"/>
      <c r="C299" s="6"/>
      <c r="D299" s="6"/>
      <c r="E299" s="6"/>
      <c r="F299" s="6"/>
      <c r="G299" s="37"/>
      <c r="H299" s="37"/>
    </row>
    <row r="300" ht="15.75" customHeight="1">
      <c r="B300" s="37"/>
      <c r="C300" s="6"/>
      <c r="D300" s="6"/>
      <c r="E300" s="6"/>
      <c r="F300" s="6"/>
      <c r="G300" s="37"/>
      <c r="H300" s="37"/>
    </row>
    <row r="301" ht="15.75" customHeight="1">
      <c r="B301" s="37"/>
      <c r="C301" s="6"/>
      <c r="D301" s="6"/>
      <c r="E301" s="6"/>
      <c r="F301" s="6"/>
      <c r="G301" s="37"/>
      <c r="H301" s="37"/>
    </row>
    <row r="302" ht="15.75" customHeight="1">
      <c r="B302" s="37"/>
      <c r="C302" s="6"/>
      <c r="D302" s="6"/>
      <c r="E302" s="6"/>
      <c r="F302" s="6"/>
      <c r="G302" s="37"/>
      <c r="H302" s="37"/>
    </row>
    <row r="303" ht="15.75" customHeight="1">
      <c r="B303" s="37"/>
      <c r="C303" s="6"/>
      <c r="D303" s="6"/>
      <c r="E303" s="6"/>
      <c r="F303" s="6"/>
      <c r="G303" s="37"/>
      <c r="H303" s="37"/>
    </row>
    <row r="304" ht="15.75" customHeight="1">
      <c r="B304" s="37"/>
      <c r="C304" s="6"/>
      <c r="D304" s="6"/>
      <c r="E304" s="6"/>
      <c r="F304" s="6"/>
      <c r="G304" s="37"/>
      <c r="H304" s="37"/>
    </row>
    <row r="305" ht="15.75" customHeight="1">
      <c r="B305" s="37"/>
      <c r="C305" s="6"/>
      <c r="D305" s="6"/>
      <c r="E305" s="6"/>
      <c r="F305" s="6"/>
      <c r="G305" s="37"/>
      <c r="H305" s="37"/>
    </row>
    <row r="306" ht="15.75" customHeight="1">
      <c r="B306" s="37"/>
      <c r="C306" s="6"/>
      <c r="D306" s="6"/>
      <c r="E306" s="6"/>
      <c r="F306" s="6"/>
      <c r="G306" s="37"/>
      <c r="H306" s="37"/>
    </row>
    <row r="307" ht="15.75" customHeight="1">
      <c r="B307" s="37"/>
      <c r="C307" s="6"/>
      <c r="D307" s="6"/>
      <c r="E307" s="6"/>
      <c r="F307" s="6"/>
      <c r="G307" s="37"/>
      <c r="H307" s="37"/>
    </row>
    <row r="308" ht="15.75" customHeight="1">
      <c r="B308" s="37"/>
      <c r="C308" s="6"/>
      <c r="D308" s="6"/>
      <c r="E308" s="6"/>
      <c r="F308" s="6"/>
      <c r="G308" s="37"/>
      <c r="H308" s="37"/>
    </row>
    <row r="309" ht="15.75" customHeight="1">
      <c r="B309" s="37"/>
      <c r="C309" s="6"/>
      <c r="D309" s="6"/>
      <c r="E309" s="6"/>
      <c r="F309" s="6"/>
      <c r="G309" s="37"/>
      <c r="H309" s="37"/>
    </row>
    <row r="310" ht="15.75" customHeight="1">
      <c r="B310" s="37"/>
      <c r="C310" s="6"/>
      <c r="D310" s="6"/>
      <c r="E310" s="6"/>
      <c r="F310" s="6"/>
      <c r="G310" s="37"/>
      <c r="H310" s="37"/>
    </row>
    <row r="311" ht="15.75" customHeight="1">
      <c r="B311" s="37"/>
      <c r="C311" s="6"/>
      <c r="D311" s="6"/>
      <c r="E311" s="6"/>
      <c r="F311" s="6"/>
      <c r="G311" s="37"/>
      <c r="H311" s="37"/>
    </row>
    <row r="312" ht="15.75" customHeight="1">
      <c r="B312" s="37"/>
      <c r="C312" s="6"/>
      <c r="D312" s="6"/>
      <c r="E312" s="6"/>
      <c r="F312" s="6"/>
      <c r="G312" s="37"/>
      <c r="H312" s="37"/>
    </row>
    <row r="313" ht="15.75" customHeight="1">
      <c r="B313" s="37"/>
      <c r="C313" s="6"/>
      <c r="D313" s="6"/>
      <c r="E313" s="6"/>
      <c r="F313" s="6"/>
      <c r="G313" s="37"/>
      <c r="H313" s="37"/>
    </row>
    <row r="314" ht="15.75" customHeight="1">
      <c r="B314" s="37"/>
      <c r="C314" s="6"/>
      <c r="D314" s="6"/>
      <c r="E314" s="6"/>
      <c r="F314" s="6"/>
      <c r="G314" s="37"/>
      <c r="H314" s="37"/>
    </row>
    <row r="315" ht="15.75" customHeight="1">
      <c r="B315" s="37"/>
      <c r="C315" s="6"/>
      <c r="D315" s="6"/>
      <c r="E315" s="6"/>
      <c r="F315" s="6"/>
      <c r="G315" s="37"/>
      <c r="H315" s="37"/>
    </row>
    <row r="316" ht="15.75" customHeight="1">
      <c r="B316" s="37"/>
      <c r="C316" s="6"/>
      <c r="D316" s="6"/>
      <c r="E316" s="6"/>
      <c r="F316" s="6"/>
      <c r="G316" s="37"/>
      <c r="H316" s="37"/>
    </row>
    <row r="317" ht="15.75" customHeight="1">
      <c r="B317" s="37"/>
      <c r="C317" s="6"/>
      <c r="D317" s="6"/>
      <c r="E317" s="6"/>
      <c r="F317" s="6"/>
      <c r="G317" s="37"/>
      <c r="H317" s="37"/>
    </row>
    <row r="318" ht="15.75" customHeight="1">
      <c r="B318" s="37"/>
      <c r="C318" s="6"/>
      <c r="D318" s="6"/>
      <c r="E318" s="6"/>
      <c r="F318" s="6"/>
      <c r="G318" s="37"/>
      <c r="H318" s="37"/>
    </row>
    <row r="319" ht="15.75" customHeight="1">
      <c r="B319" s="37"/>
      <c r="C319" s="6"/>
      <c r="D319" s="6"/>
      <c r="E319" s="6"/>
      <c r="F319" s="6"/>
      <c r="G319" s="37"/>
      <c r="H319" s="37"/>
    </row>
    <row r="320" ht="15.75" customHeight="1">
      <c r="B320" s="37"/>
      <c r="C320" s="6"/>
      <c r="D320" s="6"/>
      <c r="E320" s="6"/>
      <c r="F320" s="6"/>
      <c r="G320" s="37"/>
      <c r="H320" s="37"/>
    </row>
    <row r="321" ht="15.75" customHeight="1">
      <c r="B321" s="37"/>
      <c r="C321" s="6"/>
      <c r="D321" s="6"/>
      <c r="E321" s="6"/>
      <c r="F321" s="6"/>
      <c r="G321" s="37"/>
      <c r="H321" s="37"/>
    </row>
    <row r="322" ht="15.75" customHeight="1">
      <c r="B322" s="37"/>
      <c r="C322" s="6"/>
      <c r="D322" s="6"/>
      <c r="E322" s="6"/>
      <c r="F322" s="6"/>
      <c r="G322" s="37"/>
      <c r="H322" s="37"/>
    </row>
    <row r="323" ht="15.75" customHeight="1">
      <c r="B323" s="37"/>
      <c r="C323" s="6"/>
      <c r="D323" s="6"/>
      <c r="E323" s="6"/>
      <c r="F323" s="6"/>
      <c r="G323" s="37"/>
      <c r="H323" s="37"/>
    </row>
    <row r="324" ht="15.75" customHeight="1">
      <c r="B324" s="37"/>
      <c r="C324" s="6"/>
      <c r="D324" s="6"/>
      <c r="E324" s="6"/>
      <c r="F324" s="6"/>
      <c r="G324" s="37"/>
      <c r="H324" s="37"/>
    </row>
    <row r="325" ht="15.75" customHeight="1">
      <c r="B325" s="37"/>
      <c r="C325" s="6"/>
      <c r="D325" s="6"/>
      <c r="E325" s="6"/>
      <c r="F325" s="6"/>
      <c r="G325" s="37"/>
      <c r="H325" s="37"/>
    </row>
    <row r="326" ht="15.75" customHeight="1">
      <c r="B326" s="37"/>
      <c r="C326" s="6"/>
      <c r="D326" s="6"/>
      <c r="E326" s="6"/>
      <c r="F326" s="6"/>
      <c r="G326" s="37"/>
      <c r="H326" s="37"/>
    </row>
    <row r="327" ht="15.75" customHeight="1">
      <c r="B327" s="37"/>
      <c r="C327" s="6"/>
      <c r="D327" s="6"/>
      <c r="E327" s="6"/>
      <c r="F327" s="6"/>
      <c r="G327" s="37"/>
      <c r="H327" s="37"/>
    </row>
    <row r="328" ht="15.75" customHeight="1">
      <c r="B328" s="37"/>
      <c r="C328" s="6"/>
      <c r="D328" s="6"/>
      <c r="E328" s="6"/>
      <c r="F328" s="6"/>
      <c r="G328" s="37"/>
      <c r="H328" s="37"/>
    </row>
    <row r="329" ht="15.75" customHeight="1">
      <c r="B329" s="37"/>
      <c r="C329" s="6"/>
      <c r="D329" s="6"/>
      <c r="E329" s="6"/>
      <c r="F329" s="6"/>
      <c r="G329" s="37"/>
      <c r="H329" s="37"/>
    </row>
    <row r="330" ht="15.75" customHeight="1">
      <c r="B330" s="37"/>
      <c r="C330" s="6"/>
      <c r="D330" s="6"/>
      <c r="E330" s="6"/>
      <c r="F330" s="6"/>
      <c r="G330" s="37"/>
      <c r="H330" s="37"/>
    </row>
    <row r="331" ht="15.75" customHeight="1">
      <c r="B331" s="37"/>
      <c r="C331" s="6"/>
      <c r="D331" s="6"/>
      <c r="E331" s="6"/>
      <c r="F331" s="6"/>
      <c r="G331" s="37"/>
      <c r="H331" s="37"/>
    </row>
    <row r="332" ht="15.75" customHeight="1">
      <c r="B332" s="37"/>
      <c r="C332" s="6"/>
      <c r="D332" s="6"/>
      <c r="E332" s="6"/>
      <c r="F332" s="6"/>
      <c r="G332" s="37"/>
      <c r="H332" s="37"/>
    </row>
    <row r="333" ht="15.75" customHeight="1">
      <c r="B333" s="37"/>
      <c r="C333" s="6"/>
      <c r="D333" s="6"/>
      <c r="E333" s="6"/>
      <c r="F333" s="6"/>
      <c r="G333" s="37"/>
      <c r="H333" s="37"/>
    </row>
    <row r="334" ht="15.75" customHeight="1">
      <c r="B334" s="37"/>
      <c r="C334" s="6"/>
      <c r="D334" s="6"/>
      <c r="E334" s="6"/>
      <c r="F334" s="6"/>
      <c r="G334" s="37"/>
      <c r="H334" s="37"/>
    </row>
    <row r="335" ht="15.75" customHeight="1">
      <c r="B335" s="37"/>
      <c r="C335" s="6"/>
      <c r="D335" s="6"/>
      <c r="E335" s="6"/>
      <c r="F335" s="6"/>
      <c r="G335" s="37"/>
      <c r="H335" s="37"/>
    </row>
    <row r="336" ht="15.75" customHeight="1">
      <c r="B336" s="37"/>
      <c r="C336" s="6"/>
      <c r="D336" s="6"/>
      <c r="E336" s="6"/>
      <c r="F336" s="6"/>
      <c r="G336" s="37"/>
      <c r="H336" s="37"/>
    </row>
    <row r="337" ht="15.75" customHeight="1">
      <c r="B337" s="37"/>
      <c r="C337" s="6"/>
      <c r="D337" s="6"/>
      <c r="E337" s="6"/>
      <c r="F337" s="6"/>
      <c r="G337" s="37"/>
      <c r="H337" s="37"/>
    </row>
    <row r="338" ht="15.75" customHeight="1">
      <c r="B338" s="37"/>
      <c r="C338" s="6"/>
      <c r="D338" s="6"/>
      <c r="E338" s="6"/>
      <c r="F338" s="6"/>
      <c r="G338" s="37"/>
      <c r="H338" s="37"/>
    </row>
    <row r="339" ht="15.75" customHeight="1">
      <c r="B339" s="37"/>
      <c r="C339" s="6"/>
      <c r="D339" s="6"/>
      <c r="E339" s="6"/>
      <c r="F339" s="6"/>
      <c r="G339" s="37"/>
      <c r="H339" s="37"/>
    </row>
    <row r="340" ht="15.75" customHeight="1">
      <c r="B340" s="37"/>
      <c r="C340" s="6"/>
      <c r="D340" s="6"/>
      <c r="E340" s="6"/>
      <c r="F340" s="6"/>
      <c r="G340" s="37"/>
      <c r="H340" s="37"/>
    </row>
    <row r="341" ht="15.75" customHeight="1">
      <c r="B341" s="37"/>
      <c r="C341" s="6"/>
      <c r="D341" s="6"/>
      <c r="E341" s="6"/>
      <c r="F341" s="6"/>
      <c r="G341" s="37"/>
      <c r="H341" s="37"/>
    </row>
    <row r="342" ht="15.75" customHeight="1">
      <c r="B342" s="37"/>
      <c r="C342" s="6"/>
      <c r="D342" s="6"/>
      <c r="E342" s="6"/>
      <c r="F342" s="6"/>
      <c r="G342" s="37"/>
      <c r="H342" s="37"/>
    </row>
    <row r="343" ht="15.75" customHeight="1">
      <c r="B343" s="37"/>
      <c r="C343" s="6"/>
      <c r="D343" s="6"/>
      <c r="E343" s="6"/>
      <c r="F343" s="6"/>
      <c r="G343" s="37"/>
      <c r="H343" s="37"/>
    </row>
    <row r="344" ht="15.75" customHeight="1">
      <c r="B344" s="37"/>
      <c r="C344" s="6"/>
      <c r="D344" s="6"/>
      <c r="E344" s="6"/>
      <c r="F344" s="6"/>
      <c r="G344" s="37"/>
      <c r="H344" s="37"/>
    </row>
    <row r="345" ht="15.75" customHeight="1">
      <c r="B345" s="37"/>
      <c r="C345" s="6"/>
      <c r="D345" s="6"/>
      <c r="E345" s="6"/>
      <c r="F345" s="6"/>
      <c r="G345" s="37"/>
      <c r="H345" s="37"/>
    </row>
    <row r="346" ht="15.75" customHeight="1">
      <c r="B346" s="37"/>
      <c r="C346" s="6"/>
      <c r="D346" s="6"/>
      <c r="E346" s="6"/>
      <c r="F346" s="6"/>
      <c r="G346" s="37"/>
      <c r="H346" s="37"/>
    </row>
    <row r="347" ht="15.75" customHeight="1">
      <c r="B347" s="37"/>
      <c r="C347" s="6"/>
      <c r="D347" s="6"/>
      <c r="E347" s="6"/>
      <c r="F347" s="6"/>
      <c r="G347" s="37"/>
      <c r="H347" s="37"/>
    </row>
    <row r="348" ht="15.75" customHeight="1">
      <c r="B348" s="37"/>
      <c r="C348" s="6"/>
      <c r="D348" s="6"/>
      <c r="E348" s="6"/>
      <c r="F348" s="6"/>
      <c r="G348" s="37"/>
      <c r="H348" s="37"/>
    </row>
    <row r="349" ht="15.75" customHeight="1">
      <c r="B349" s="37"/>
      <c r="C349" s="6"/>
      <c r="D349" s="6"/>
      <c r="E349" s="6"/>
      <c r="F349" s="6"/>
      <c r="G349" s="37"/>
      <c r="H349" s="37"/>
    </row>
    <row r="350" ht="15.75" customHeight="1">
      <c r="B350" s="37"/>
      <c r="C350" s="6"/>
      <c r="D350" s="6"/>
      <c r="E350" s="6"/>
      <c r="F350" s="6"/>
      <c r="G350" s="37"/>
      <c r="H350" s="37"/>
    </row>
    <row r="351" ht="15.75" customHeight="1">
      <c r="B351" s="37"/>
      <c r="C351" s="6"/>
      <c r="D351" s="6"/>
      <c r="E351" s="6"/>
      <c r="F351" s="6"/>
      <c r="G351" s="37"/>
      <c r="H351" s="37"/>
    </row>
    <row r="352" ht="15.75" customHeight="1">
      <c r="B352" s="37"/>
      <c r="C352" s="6"/>
      <c r="D352" s="6"/>
      <c r="E352" s="6"/>
      <c r="F352" s="6"/>
      <c r="G352" s="37"/>
      <c r="H352" s="37"/>
    </row>
    <row r="353" ht="15.75" customHeight="1">
      <c r="B353" s="37"/>
      <c r="C353" s="6"/>
      <c r="D353" s="6"/>
      <c r="E353" s="6"/>
      <c r="F353" s="6"/>
      <c r="G353" s="37"/>
      <c r="H353" s="37"/>
    </row>
    <row r="354" ht="15.75" customHeight="1">
      <c r="B354" s="37"/>
      <c r="C354" s="6"/>
      <c r="D354" s="6"/>
      <c r="E354" s="6"/>
      <c r="F354" s="6"/>
      <c r="G354" s="37"/>
      <c r="H354" s="37"/>
    </row>
    <row r="355" ht="15.75" customHeight="1">
      <c r="B355" s="37"/>
      <c r="C355" s="6"/>
      <c r="D355" s="6"/>
      <c r="E355" s="6"/>
      <c r="F355" s="6"/>
      <c r="G355" s="37"/>
      <c r="H355" s="37"/>
    </row>
    <row r="356" ht="15.75" customHeight="1">
      <c r="B356" s="37"/>
      <c r="C356" s="6"/>
      <c r="D356" s="6"/>
      <c r="E356" s="6"/>
      <c r="F356" s="6"/>
      <c r="G356" s="37"/>
      <c r="H356" s="37"/>
    </row>
    <row r="357" ht="15.75" customHeight="1">
      <c r="B357" s="37"/>
      <c r="C357" s="6"/>
      <c r="D357" s="6"/>
      <c r="E357" s="6"/>
      <c r="F357" s="6"/>
      <c r="G357" s="37"/>
      <c r="H357" s="37"/>
    </row>
    <row r="358" ht="15.75" customHeight="1">
      <c r="B358" s="37"/>
      <c r="C358" s="6"/>
      <c r="D358" s="6"/>
      <c r="E358" s="6"/>
      <c r="F358" s="6"/>
      <c r="G358" s="37"/>
      <c r="H358" s="37"/>
    </row>
    <row r="359" ht="15.75" customHeight="1">
      <c r="B359" s="37"/>
      <c r="C359" s="6"/>
      <c r="D359" s="6"/>
      <c r="E359" s="6"/>
      <c r="F359" s="6"/>
      <c r="G359" s="37"/>
      <c r="H359" s="37"/>
    </row>
    <row r="360" ht="15.75" customHeight="1">
      <c r="B360" s="37"/>
      <c r="C360" s="6"/>
      <c r="D360" s="6"/>
      <c r="E360" s="6"/>
      <c r="F360" s="6"/>
      <c r="G360" s="37"/>
      <c r="H360" s="37"/>
    </row>
    <row r="361" ht="15.75" customHeight="1">
      <c r="B361" s="37"/>
      <c r="C361" s="6"/>
      <c r="D361" s="6"/>
      <c r="E361" s="6"/>
      <c r="F361" s="6"/>
      <c r="G361" s="37"/>
      <c r="H361" s="37"/>
    </row>
    <row r="362" ht="15.75" customHeight="1">
      <c r="B362" s="37"/>
      <c r="C362" s="6"/>
      <c r="D362" s="6"/>
      <c r="E362" s="6"/>
      <c r="F362" s="6"/>
      <c r="G362" s="37"/>
      <c r="H362" s="37"/>
    </row>
    <row r="363" ht="15.75" customHeight="1">
      <c r="B363" s="37"/>
      <c r="C363" s="6"/>
      <c r="D363" s="6"/>
      <c r="E363" s="6"/>
      <c r="F363" s="6"/>
      <c r="G363" s="37"/>
      <c r="H363" s="37"/>
    </row>
    <row r="364" ht="15.75" customHeight="1">
      <c r="B364" s="37"/>
      <c r="C364" s="6"/>
      <c r="D364" s="6"/>
      <c r="E364" s="6"/>
      <c r="F364" s="6"/>
      <c r="G364" s="37"/>
      <c r="H364" s="37"/>
    </row>
    <row r="365" ht="15.75" customHeight="1">
      <c r="B365" s="37"/>
      <c r="C365" s="6"/>
      <c r="D365" s="6"/>
      <c r="E365" s="6"/>
      <c r="F365" s="6"/>
      <c r="G365" s="37"/>
      <c r="H365" s="37"/>
    </row>
    <row r="366" ht="15.75" customHeight="1">
      <c r="B366" s="37"/>
      <c r="C366" s="6"/>
      <c r="D366" s="6"/>
      <c r="E366" s="6"/>
      <c r="F366" s="6"/>
      <c r="G366" s="37"/>
      <c r="H366" s="37"/>
    </row>
    <row r="367" ht="15.75" customHeight="1">
      <c r="B367" s="37"/>
      <c r="C367" s="6"/>
      <c r="D367" s="6"/>
      <c r="E367" s="6"/>
      <c r="F367" s="6"/>
      <c r="G367" s="37"/>
      <c r="H367" s="37"/>
    </row>
    <row r="368" ht="15.75" customHeight="1">
      <c r="B368" s="37"/>
      <c r="C368" s="6"/>
      <c r="D368" s="6"/>
      <c r="E368" s="6"/>
      <c r="F368" s="6"/>
      <c r="G368" s="37"/>
      <c r="H368" s="37"/>
    </row>
    <row r="369" ht="15.75" customHeight="1">
      <c r="B369" s="37"/>
      <c r="C369" s="6"/>
      <c r="D369" s="6"/>
      <c r="E369" s="6"/>
      <c r="F369" s="6"/>
      <c r="G369" s="37"/>
      <c r="H369" s="37"/>
    </row>
    <row r="370" ht="15.75" customHeight="1">
      <c r="B370" s="37"/>
      <c r="C370" s="6"/>
      <c r="D370" s="6"/>
      <c r="E370" s="6"/>
      <c r="F370" s="6"/>
      <c r="G370" s="37"/>
      <c r="H370" s="37"/>
    </row>
    <row r="371" ht="15.75" customHeight="1">
      <c r="B371" s="37"/>
      <c r="C371" s="6"/>
      <c r="D371" s="6"/>
      <c r="E371" s="6"/>
      <c r="F371" s="6"/>
      <c r="G371" s="37"/>
      <c r="H371" s="37"/>
    </row>
    <row r="372" ht="15.75" customHeight="1">
      <c r="B372" s="37"/>
      <c r="C372" s="6"/>
      <c r="D372" s="6"/>
      <c r="E372" s="6"/>
      <c r="F372" s="6"/>
      <c r="G372" s="37"/>
      <c r="H372" s="37"/>
    </row>
    <row r="373" ht="15.75" customHeight="1">
      <c r="B373" s="37"/>
      <c r="C373" s="6"/>
      <c r="D373" s="6"/>
      <c r="E373" s="6"/>
      <c r="F373" s="6"/>
      <c r="G373" s="37"/>
      <c r="H373" s="37"/>
    </row>
    <row r="374" ht="15.75" customHeight="1">
      <c r="B374" s="37"/>
      <c r="C374" s="6"/>
      <c r="D374" s="6"/>
      <c r="E374" s="6"/>
      <c r="F374" s="6"/>
      <c r="G374" s="37"/>
      <c r="H374" s="37"/>
    </row>
    <row r="375" ht="15.75" customHeight="1">
      <c r="B375" s="37"/>
      <c r="C375" s="6"/>
      <c r="D375" s="6"/>
      <c r="E375" s="6"/>
      <c r="F375" s="6"/>
      <c r="G375" s="37"/>
      <c r="H375" s="37"/>
    </row>
    <row r="376" ht="15.75" customHeight="1">
      <c r="B376" s="37"/>
      <c r="C376" s="6"/>
      <c r="D376" s="6"/>
      <c r="E376" s="6"/>
      <c r="F376" s="6"/>
      <c r="G376" s="37"/>
      <c r="H376" s="37"/>
    </row>
    <row r="377" ht="15.75" customHeight="1">
      <c r="B377" s="37"/>
      <c r="C377" s="6"/>
      <c r="D377" s="6"/>
      <c r="E377" s="6"/>
      <c r="F377" s="6"/>
      <c r="G377" s="37"/>
      <c r="H377" s="37"/>
    </row>
    <row r="378" ht="15.75" customHeight="1">
      <c r="B378" s="37"/>
      <c r="C378" s="6"/>
      <c r="D378" s="6"/>
      <c r="E378" s="6"/>
      <c r="F378" s="6"/>
      <c r="G378" s="37"/>
      <c r="H378" s="37"/>
    </row>
    <row r="379" ht="15.75" customHeight="1">
      <c r="B379" s="37"/>
      <c r="C379" s="6"/>
      <c r="D379" s="6"/>
      <c r="E379" s="6"/>
      <c r="F379" s="6"/>
      <c r="G379" s="37"/>
      <c r="H379" s="37"/>
    </row>
    <row r="380" ht="15.75" customHeight="1">
      <c r="B380" s="37"/>
      <c r="C380" s="6"/>
      <c r="D380" s="6"/>
      <c r="E380" s="6"/>
      <c r="F380" s="6"/>
      <c r="G380" s="37"/>
      <c r="H380" s="37"/>
    </row>
    <row r="381" ht="15.75" customHeight="1">
      <c r="B381" s="37"/>
      <c r="C381" s="6"/>
      <c r="D381" s="6"/>
      <c r="E381" s="6"/>
      <c r="F381" s="6"/>
      <c r="G381" s="37"/>
      <c r="H381" s="37"/>
    </row>
    <row r="382" ht="15.75" customHeight="1">
      <c r="B382" s="37"/>
      <c r="C382" s="6"/>
      <c r="D382" s="6"/>
      <c r="E382" s="6"/>
      <c r="F382" s="6"/>
      <c r="G382" s="37"/>
      <c r="H382" s="37"/>
    </row>
    <row r="383" ht="15.75" customHeight="1">
      <c r="B383" s="37"/>
      <c r="C383" s="6"/>
      <c r="D383" s="6"/>
      <c r="E383" s="6"/>
      <c r="F383" s="6"/>
      <c r="G383" s="37"/>
      <c r="H383" s="37"/>
    </row>
    <row r="384" ht="15.75" customHeight="1">
      <c r="B384" s="37"/>
      <c r="C384" s="6"/>
      <c r="D384" s="6"/>
      <c r="E384" s="6"/>
      <c r="F384" s="6"/>
      <c r="G384" s="37"/>
      <c r="H384" s="37"/>
    </row>
    <row r="385" ht="15.75" customHeight="1">
      <c r="B385" s="37"/>
      <c r="C385" s="6"/>
      <c r="D385" s="6"/>
      <c r="E385" s="6"/>
      <c r="F385" s="6"/>
      <c r="G385" s="37"/>
      <c r="H385" s="37"/>
    </row>
    <row r="386" ht="15.75" customHeight="1">
      <c r="B386" s="37"/>
      <c r="C386" s="6"/>
      <c r="D386" s="6"/>
      <c r="E386" s="6"/>
      <c r="F386" s="6"/>
      <c r="G386" s="37"/>
      <c r="H386" s="37"/>
    </row>
    <row r="387" ht="15.75" customHeight="1">
      <c r="B387" s="37"/>
      <c r="C387" s="6"/>
      <c r="D387" s="6"/>
      <c r="E387" s="6"/>
      <c r="F387" s="6"/>
      <c r="G387" s="37"/>
      <c r="H387" s="37"/>
    </row>
    <row r="388" ht="15.75" customHeight="1">
      <c r="B388" s="37"/>
      <c r="C388" s="6"/>
      <c r="D388" s="6"/>
      <c r="E388" s="6"/>
      <c r="F388" s="6"/>
      <c r="G388" s="37"/>
      <c r="H388" s="37"/>
    </row>
    <row r="389" ht="15.75" customHeight="1">
      <c r="B389" s="37"/>
      <c r="C389" s="6"/>
      <c r="D389" s="6"/>
      <c r="E389" s="6"/>
      <c r="F389" s="6"/>
      <c r="G389" s="37"/>
      <c r="H389" s="37"/>
    </row>
    <row r="390" ht="15.75" customHeight="1">
      <c r="B390" s="37"/>
      <c r="C390" s="6"/>
      <c r="D390" s="6"/>
      <c r="E390" s="6"/>
      <c r="F390" s="6"/>
      <c r="G390" s="37"/>
      <c r="H390" s="37"/>
    </row>
    <row r="391" ht="15.75" customHeight="1">
      <c r="B391" s="37"/>
      <c r="C391" s="6"/>
      <c r="D391" s="6"/>
      <c r="E391" s="6"/>
      <c r="F391" s="6"/>
      <c r="G391" s="37"/>
      <c r="H391" s="37"/>
    </row>
    <row r="392" ht="15.75" customHeight="1">
      <c r="B392" s="37"/>
      <c r="C392" s="6"/>
      <c r="D392" s="6"/>
      <c r="E392" s="6"/>
      <c r="F392" s="6"/>
      <c r="G392" s="37"/>
      <c r="H392" s="37"/>
    </row>
    <row r="393" ht="15.75" customHeight="1">
      <c r="B393" s="37"/>
      <c r="C393" s="6"/>
      <c r="D393" s="6"/>
      <c r="E393" s="6"/>
      <c r="F393" s="6"/>
      <c r="G393" s="37"/>
      <c r="H393" s="37"/>
    </row>
    <row r="394" ht="15.75" customHeight="1">
      <c r="B394" s="37"/>
      <c r="C394" s="6"/>
      <c r="D394" s="6"/>
      <c r="E394" s="6"/>
      <c r="F394" s="6"/>
      <c r="G394" s="37"/>
      <c r="H394" s="37"/>
    </row>
    <row r="395" ht="15.75" customHeight="1">
      <c r="B395" s="37"/>
      <c r="C395" s="6"/>
      <c r="D395" s="6"/>
      <c r="E395" s="6"/>
      <c r="F395" s="6"/>
      <c r="G395" s="37"/>
      <c r="H395" s="37"/>
    </row>
    <row r="396" ht="15.75" customHeight="1">
      <c r="B396" s="37"/>
      <c r="C396" s="6"/>
      <c r="D396" s="6"/>
      <c r="E396" s="6"/>
      <c r="F396" s="6"/>
      <c r="G396" s="37"/>
      <c r="H396" s="37"/>
    </row>
    <row r="397" ht="15.75" customHeight="1">
      <c r="B397" s="37"/>
      <c r="C397" s="6"/>
      <c r="D397" s="6"/>
      <c r="E397" s="6"/>
      <c r="F397" s="6"/>
      <c r="G397" s="37"/>
      <c r="H397" s="37"/>
    </row>
    <row r="398" ht="15.75" customHeight="1">
      <c r="B398" s="37"/>
      <c r="C398" s="6"/>
      <c r="D398" s="6"/>
      <c r="E398" s="6"/>
      <c r="F398" s="6"/>
      <c r="G398" s="37"/>
      <c r="H398" s="37"/>
    </row>
    <row r="399" ht="15.75" customHeight="1">
      <c r="B399" s="37"/>
      <c r="C399" s="6"/>
      <c r="D399" s="6"/>
      <c r="E399" s="6"/>
      <c r="F399" s="6"/>
      <c r="G399" s="37"/>
      <c r="H399" s="37"/>
    </row>
    <row r="400" ht="15.75" customHeight="1">
      <c r="B400" s="37"/>
      <c r="C400" s="6"/>
      <c r="D400" s="6"/>
      <c r="E400" s="6"/>
      <c r="F400" s="6"/>
      <c r="G400" s="37"/>
      <c r="H400" s="37"/>
    </row>
    <row r="401" ht="15.75" customHeight="1">
      <c r="B401" s="37"/>
      <c r="C401" s="6"/>
      <c r="D401" s="6"/>
      <c r="E401" s="6"/>
      <c r="F401" s="6"/>
      <c r="G401" s="37"/>
      <c r="H401" s="37"/>
    </row>
    <row r="402" ht="15.75" customHeight="1">
      <c r="B402" s="37"/>
      <c r="C402" s="6"/>
      <c r="D402" s="6"/>
      <c r="E402" s="6"/>
      <c r="F402" s="6"/>
      <c r="G402" s="37"/>
      <c r="H402" s="37"/>
    </row>
    <row r="403" ht="15.75" customHeight="1">
      <c r="B403" s="37"/>
      <c r="C403" s="6"/>
      <c r="D403" s="6"/>
      <c r="E403" s="6"/>
      <c r="F403" s="6"/>
      <c r="G403" s="37"/>
      <c r="H403" s="37"/>
    </row>
    <row r="404" ht="15.75" customHeight="1">
      <c r="B404" s="37"/>
      <c r="C404" s="6"/>
      <c r="D404" s="6"/>
      <c r="E404" s="6"/>
      <c r="F404" s="6"/>
      <c r="G404" s="37"/>
      <c r="H404" s="37"/>
    </row>
    <row r="405" ht="15.75" customHeight="1">
      <c r="B405" s="37"/>
      <c r="C405" s="6"/>
      <c r="D405" s="6"/>
      <c r="E405" s="6"/>
      <c r="F405" s="6"/>
      <c r="G405" s="37"/>
      <c r="H405" s="37"/>
    </row>
    <row r="406" ht="15.75" customHeight="1">
      <c r="B406" s="37"/>
      <c r="C406" s="6"/>
      <c r="D406" s="6"/>
      <c r="E406" s="6"/>
      <c r="F406" s="6"/>
      <c r="G406" s="37"/>
      <c r="H406" s="37"/>
    </row>
    <row r="407" ht="15.75" customHeight="1">
      <c r="B407" s="37"/>
      <c r="C407" s="6"/>
      <c r="D407" s="6"/>
      <c r="E407" s="6"/>
      <c r="F407" s="6"/>
      <c r="G407" s="37"/>
      <c r="H407" s="37"/>
    </row>
    <row r="408" ht="15.75" customHeight="1">
      <c r="B408" s="37"/>
      <c r="C408" s="6"/>
      <c r="D408" s="6"/>
      <c r="E408" s="6"/>
      <c r="F408" s="6"/>
      <c r="G408" s="37"/>
      <c r="H408" s="37"/>
    </row>
    <row r="409" ht="15.75" customHeight="1">
      <c r="B409" s="37"/>
      <c r="C409" s="6"/>
      <c r="D409" s="6"/>
      <c r="E409" s="6"/>
      <c r="F409" s="6"/>
      <c r="G409" s="37"/>
      <c r="H409" s="37"/>
    </row>
    <row r="410" ht="15.75" customHeight="1">
      <c r="B410" s="37"/>
      <c r="C410" s="6"/>
      <c r="D410" s="6"/>
      <c r="E410" s="6"/>
      <c r="F410" s="6"/>
      <c r="G410" s="37"/>
      <c r="H410" s="37"/>
    </row>
    <row r="411" ht="15.75" customHeight="1">
      <c r="B411" s="37"/>
      <c r="C411" s="6"/>
      <c r="D411" s="6"/>
      <c r="E411" s="6"/>
      <c r="F411" s="6"/>
      <c r="G411" s="37"/>
      <c r="H411" s="37"/>
    </row>
    <row r="412" ht="15.75" customHeight="1">
      <c r="B412" s="37"/>
      <c r="C412" s="6"/>
      <c r="D412" s="6"/>
      <c r="E412" s="6"/>
      <c r="F412" s="6"/>
      <c r="G412" s="37"/>
      <c r="H412" s="37"/>
    </row>
    <row r="413" ht="15.75" customHeight="1">
      <c r="B413" s="37"/>
      <c r="C413" s="6"/>
      <c r="D413" s="6"/>
      <c r="E413" s="6"/>
      <c r="F413" s="6"/>
      <c r="G413" s="37"/>
      <c r="H413" s="37"/>
    </row>
    <row r="414" ht="15.75" customHeight="1">
      <c r="B414" s="37"/>
      <c r="C414" s="6"/>
      <c r="D414" s="6"/>
      <c r="E414" s="6"/>
      <c r="F414" s="6"/>
      <c r="G414" s="37"/>
      <c r="H414" s="37"/>
    </row>
    <row r="415" ht="15.75" customHeight="1">
      <c r="B415" s="37"/>
      <c r="C415" s="6"/>
      <c r="D415" s="6"/>
      <c r="E415" s="6"/>
      <c r="F415" s="6"/>
      <c r="G415" s="37"/>
      <c r="H415" s="37"/>
    </row>
    <row r="416" ht="15.75" customHeight="1">
      <c r="B416" s="37"/>
      <c r="C416" s="6"/>
      <c r="D416" s="6"/>
      <c r="E416" s="6"/>
      <c r="F416" s="6"/>
      <c r="G416" s="37"/>
      <c r="H416" s="37"/>
    </row>
    <row r="417" ht="15.75" customHeight="1">
      <c r="B417" s="37"/>
      <c r="C417" s="6"/>
      <c r="D417" s="6"/>
      <c r="E417" s="6"/>
      <c r="F417" s="6"/>
      <c r="G417" s="37"/>
      <c r="H417" s="37"/>
    </row>
    <row r="418" ht="15.75" customHeight="1">
      <c r="B418" s="37"/>
      <c r="C418" s="6"/>
      <c r="D418" s="6"/>
      <c r="E418" s="6"/>
      <c r="F418" s="6"/>
      <c r="G418" s="37"/>
      <c r="H418" s="37"/>
    </row>
    <row r="419" ht="15.75" customHeight="1">
      <c r="B419" s="37"/>
      <c r="C419" s="6"/>
      <c r="D419" s="6"/>
      <c r="E419" s="6"/>
      <c r="F419" s="6"/>
      <c r="G419" s="37"/>
      <c r="H419" s="37"/>
    </row>
    <row r="420" ht="15.75" customHeight="1">
      <c r="B420" s="37"/>
      <c r="C420" s="6"/>
      <c r="D420" s="6"/>
      <c r="E420" s="6"/>
      <c r="F420" s="6"/>
      <c r="G420" s="37"/>
      <c r="H420" s="37"/>
    </row>
    <row r="421" ht="15.75" customHeight="1">
      <c r="B421" s="37"/>
      <c r="C421" s="6"/>
      <c r="D421" s="6"/>
      <c r="E421" s="6"/>
      <c r="F421" s="6"/>
      <c r="G421" s="37"/>
      <c r="H421" s="37"/>
    </row>
    <row r="422" ht="15.75" customHeight="1">
      <c r="B422" s="37"/>
      <c r="C422" s="6"/>
      <c r="D422" s="6"/>
      <c r="E422" s="6"/>
      <c r="F422" s="6"/>
      <c r="G422" s="37"/>
      <c r="H422" s="37"/>
    </row>
    <row r="423" ht="15.75" customHeight="1">
      <c r="B423" s="37"/>
      <c r="C423" s="6"/>
      <c r="D423" s="6"/>
      <c r="E423" s="6"/>
      <c r="F423" s="6"/>
      <c r="G423" s="37"/>
      <c r="H423" s="37"/>
    </row>
    <row r="424" ht="15.75" customHeight="1">
      <c r="B424" s="37"/>
      <c r="C424" s="6"/>
      <c r="D424" s="6"/>
      <c r="E424" s="6"/>
      <c r="F424" s="6"/>
      <c r="G424" s="37"/>
      <c r="H424" s="37"/>
    </row>
    <row r="425" ht="15.75" customHeight="1">
      <c r="B425" s="37"/>
      <c r="C425" s="6"/>
      <c r="D425" s="6"/>
      <c r="E425" s="6"/>
      <c r="F425" s="6"/>
      <c r="G425" s="37"/>
      <c r="H425" s="37"/>
    </row>
    <row r="426" ht="15.75" customHeight="1">
      <c r="B426" s="37"/>
      <c r="C426" s="6"/>
      <c r="D426" s="6"/>
      <c r="E426" s="6"/>
      <c r="F426" s="6"/>
      <c r="G426" s="37"/>
      <c r="H426" s="37"/>
    </row>
    <row r="427" ht="15.75" customHeight="1">
      <c r="B427" s="37"/>
      <c r="C427" s="6"/>
      <c r="D427" s="6"/>
      <c r="E427" s="6"/>
      <c r="F427" s="6"/>
      <c r="G427" s="37"/>
      <c r="H427" s="37"/>
    </row>
    <row r="428" ht="15.75" customHeight="1">
      <c r="B428" s="37"/>
      <c r="C428" s="6"/>
      <c r="D428" s="6"/>
      <c r="E428" s="6"/>
      <c r="F428" s="6"/>
      <c r="G428" s="37"/>
      <c r="H428" s="37"/>
    </row>
    <row r="429" ht="15.75" customHeight="1">
      <c r="B429" s="37"/>
      <c r="C429" s="6"/>
      <c r="D429" s="6"/>
      <c r="E429" s="6"/>
      <c r="F429" s="6"/>
      <c r="G429" s="37"/>
      <c r="H429" s="37"/>
    </row>
    <row r="430" ht="15.75" customHeight="1">
      <c r="B430" s="37"/>
      <c r="C430" s="6"/>
      <c r="D430" s="6"/>
      <c r="E430" s="6"/>
      <c r="F430" s="6"/>
      <c r="G430" s="37"/>
      <c r="H430" s="37"/>
    </row>
    <row r="431" ht="15.75" customHeight="1">
      <c r="B431" s="37"/>
      <c r="C431" s="6"/>
      <c r="D431" s="6"/>
      <c r="E431" s="6"/>
      <c r="F431" s="6"/>
      <c r="G431" s="37"/>
      <c r="H431" s="37"/>
    </row>
    <row r="432" ht="15.75" customHeight="1">
      <c r="B432" s="37"/>
      <c r="C432" s="6"/>
      <c r="D432" s="6"/>
      <c r="E432" s="6"/>
      <c r="F432" s="6"/>
      <c r="G432" s="37"/>
      <c r="H432" s="37"/>
    </row>
    <row r="433" ht="15.75" customHeight="1">
      <c r="B433" s="37"/>
      <c r="C433" s="6"/>
      <c r="D433" s="6"/>
      <c r="E433" s="6"/>
      <c r="F433" s="6"/>
      <c r="G433" s="37"/>
      <c r="H433" s="37"/>
    </row>
    <row r="434" ht="15.75" customHeight="1">
      <c r="B434" s="37"/>
      <c r="C434" s="6"/>
      <c r="D434" s="6"/>
      <c r="E434" s="6"/>
      <c r="F434" s="6"/>
      <c r="G434" s="37"/>
      <c r="H434" s="37"/>
    </row>
    <row r="435" ht="15.75" customHeight="1">
      <c r="B435" s="37"/>
      <c r="C435" s="6"/>
      <c r="D435" s="6"/>
      <c r="E435" s="6"/>
      <c r="F435" s="6"/>
      <c r="G435" s="37"/>
      <c r="H435" s="37"/>
    </row>
    <row r="436" ht="15.75" customHeight="1">
      <c r="B436" s="37"/>
      <c r="C436" s="6"/>
      <c r="D436" s="6"/>
      <c r="E436" s="6"/>
      <c r="F436" s="6"/>
      <c r="G436" s="37"/>
      <c r="H436" s="37"/>
    </row>
    <row r="437" ht="15.75" customHeight="1">
      <c r="B437" s="37"/>
      <c r="C437" s="6"/>
      <c r="D437" s="6"/>
      <c r="E437" s="6"/>
      <c r="F437" s="6"/>
      <c r="G437" s="37"/>
      <c r="H437" s="37"/>
    </row>
    <row r="438" ht="15.75" customHeight="1">
      <c r="B438" s="37"/>
      <c r="C438" s="6"/>
      <c r="D438" s="6"/>
      <c r="E438" s="6"/>
      <c r="F438" s="6"/>
      <c r="G438" s="37"/>
      <c r="H438" s="37"/>
    </row>
    <row r="439" ht="15.75" customHeight="1">
      <c r="B439" s="37"/>
      <c r="C439" s="6"/>
      <c r="D439" s="6"/>
      <c r="E439" s="6"/>
      <c r="F439" s="6"/>
      <c r="G439" s="37"/>
      <c r="H439" s="37"/>
    </row>
    <row r="440" ht="15.75" customHeight="1">
      <c r="B440" s="37"/>
      <c r="C440" s="6"/>
      <c r="D440" s="6"/>
      <c r="E440" s="6"/>
      <c r="F440" s="6"/>
      <c r="G440" s="37"/>
      <c r="H440" s="37"/>
    </row>
    <row r="441" ht="15.75" customHeight="1">
      <c r="B441" s="37"/>
      <c r="C441" s="6"/>
      <c r="D441" s="6"/>
      <c r="E441" s="6"/>
      <c r="F441" s="6"/>
      <c r="G441" s="37"/>
      <c r="H441" s="37"/>
    </row>
    <row r="442" ht="15.75" customHeight="1">
      <c r="B442" s="37"/>
      <c r="C442" s="6"/>
      <c r="D442" s="6"/>
      <c r="E442" s="6"/>
      <c r="F442" s="6"/>
      <c r="G442" s="37"/>
      <c r="H442" s="37"/>
    </row>
    <row r="443" ht="15.75" customHeight="1">
      <c r="B443" s="37"/>
      <c r="C443" s="6"/>
      <c r="D443" s="6"/>
      <c r="E443" s="6"/>
      <c r="F443" s="6"/>
      <c r="G443" s="37"/>
      <c r="H443" s="37"/>
    </row>
    <row r="444" ht="15.75" customHeight="1">
      <c r="B444" s="37"/>
      <c r="C444" s="6"/>
      <c r="D444" s="6"/>
      <c r="E444" s="6"/>
      <c r="F444" s="6"/>
      <c r="G444" s="37"/>
      <c r="H444" s="37"/>
    </row>
    <row r="445" ht="15.75" customHeight="1">
      <c r="B445" s="37"/>
      <c r="C445" s="6"/>
      <c r="D445" s="6"/>
      <c r="E445" s="6"/>
      <c r="F445" s="6"/>
      <c r="G445" s="37"/>
      <c r="H445" s="37"/>
    </row>
    <row r="446" ht="15.75" customHeight="1">
      <c r="B446" s="37"/>
      <c r="C446" s="6"/>
      <c r="D446" s="6"/>
      <c r="E446" s="6"/>
      <c r="F446" s="6"/>
      <c r="G446" s="37"/>
      <c r="H446" s="37"/>
    </row>
    <row r="447" ht="15.75" customHeight="1">
      <c r="B447" s="37"/>
      <c r="C447" s="6"/>
      <c r="D447" s="6"/>
      <c r="E447" s="6"/>
      <c r="F447" s="6"/>
      <c r="G447" s="37"/>
      <c r="H447" s="37"/>
    </row>
    <row r="448" ht="15.75" customHeight="1">
      <c r="B448" s="37"/>
      <c r="C448" s="6"/>
      <c r="D448" s="6"/>
      <c r="E448" s="6"/>
      <c r="F448" s="6"/>
      <c r="G448" s="37"/>
      <c r="H448" s="37"/>
    </row>
    <row r="449" ht="15.75" customHeight="1">
      <c r="B449" s="37"/>
      <c r="C449" s="6"/>
      <c r="D449" s="6"/>
      <c r="E449" s="6"/>
      <c r="F449" s="6"/>
      <c r="G449" s="37"/>
      <c r="H449" s="37"/>
    </row>
    <row r="450" ht="15.75" customHeight="1">
      <c r="B450" s="37"/>
      <c r="C450" s="6"/>
      <c r="D450" s="6"/>
      <c r="E450" s="6"/>
      <c r="F450" s="6"/>
      <c r="G450" s="37"/>
      <c r="H450" s="37"/>
    </row>
    <row r="451" ht="15.75" customHeight="1">
      <c r="B451" s="37"/>
      <c r="C451" s="6"/>
      <c r="D451" s="6"/>
      <c r="E451" s="6"/>
      <c r="F451" s="6"/>
      <c r="G451" s="37"/>
      <c r="H451" s="37"/>
    </row>
    <row r="452" ht="15.75" customHeight="1">
      <c r="B452" s="37"/>
      <c r="C452" s="6"/>
      <c r="D452" s="6"/>
      <c r="E452" s="6"/>
      <c r="F452" s="6"/>
      <c r="G452" s="37"/>
      <c r="H452" s="37"/>
    </row>
    <row r="453" ht="15.75" customHeight="1">
      <c r="B453" s="37"/>
      <c r="C453" s="6"/>
      <c r="D453" s="6"/>
      <c r="E453" s="6"/>
      <c r="F453" s="6"/>
      <c r="G453" s="37"/>
      <c r="H453" s="37"/>
    </row>
    <row r="454" ht="15.75" customHeight="1">
      <c r="B454" s="37"/>
      <c r="C454" s="6"/>
      <c r="D454" s="6"/>
      <c r="E454" s="6"/>
      <c r="F454" s="6"/>
      <c r="G454" s="37"/>
      <c r="H454" s="37"/>
    </row>
    <row r="455" ht="15.75" customHeight="1">
      <c r="B455" s="37"/>
      <c r="C455" s="6"/>
      <c r="D455" s="6"/>
      <c r="E455" s="6"/>
      <c r="F455" s="6"/>
      <c r="G455" s="37"/>
      <c r="H455" s="37"/>
    </row>
    <row r="456" ht="15.75" customHeight="1">
      <c r="B456" s="37"/>
      <c r="C456" s="6"/>
      <c r="D456" s="6"/>
      <c r="E456" s="6"/>
      <c r="F456" s="6"/>
      <c r="G456" s="37"/>
      <c r="H456" s="37"/>
    </row>
    <row r="457" ht="15.75" customHeight="1">
      <c r="B457" s="37"/>
      <c r="C457" s="6"/>
      <c r="D457" s="6"/>
      <c r="E457" s="6"/>
      <c r="F457" s="6"/>
      <c r="G457" s="37"/>
      <c r="H457" s="37"/>
    </row>
    <row r="458" ht="15.75" customHeight="1">
      <c r="B458" s="37"/>
      <c r="C458" s="6"/>
      <c r="D458" s="6"/>
      <c r="E458" s="6"/>
      <c r="F458" s="6"/>
      <c r="G458" s="37"/>
      <c r="H458" s="37"/>
    </row>
    <row r="459" ht="15.75" customHeight="1">
      <c r="B459" s="37"/>
      <c r="C459" s="6"/>
      <c r="D459" s="6"/>
      <c r="E459" s="6"/>
      <c r="F459" s="6"/>
      <c r="G459" s="37"/>
      <c r="H459" s="37"/>
    </row>
    <row r="460" ht="15.75" customHeight="1">
      <c r="B460" s="37"/>
      <c r="C460" s="6"/>
      <c r="D460" s="6"/>
      <c r="E460" s="6"/>
      <c r="F460" s="6"/>
      <c r="G460" s="37"/>
      <c r="H460" s="37"/>
    </row>
    <row r="461" ht="15.75" customHeight="1">
      <c r="B461" s="37"/>
      <c r="C461" s="6"/>
      <c r="D461" s="6"/>
      <c r="E461" s="6"/>
      <c r="F461" s="6"/>
      <c r="G461" s="37"/>
      <c r="H461" s="37"/>
    </row>
    <row r="462" ht="15.75" customHeight="1">
      <c r="B462" s="37"/>
      <c r="C462" s="6"/>
      <c r="D462" s="6"/>
      <c r="E462" s="6"/>
      <c r="F462" s="6"/>
      <c r="G462" s="37"/>
      <c r="H462" s="37"/>
    </row>
    <row r="463" ht="15.75" customHeight="1">
      <c r="B463" s="37"/>
      <c r="C463" s="6"/>
      <c r="D463" s="6"/>
      <c r="E463" s="6"/>
      <c r="F463" s="6"/>
      <c r="G463" s="37"/>
      <c r="H463" s="37"/>
    </row>
    <row r="464" ht="15.75" customHeight="1">
      <c r="B464" s="37"/>
      <c r="C464" s="6"/>
      <c r="D464" s="6"/>
      <c r="E464" s="6"/>
      <c r="F464" s="6"/>
      <c r="G464" s="37"/>
      <c r="H464" s="37"/>
    </row>
    <row r="465" ht="15.75" customHeight="1">
      <c r="B465" s="37"/>
      <c r="C465" s="6"/>
      <c r="D465" s="6"/>
      <c r="E465" s="6"/>
      <c r="F465" s="6"/>
      <c r="G465" s="37"/>
      <c r="H465" s="37"/>
    </row>
    <row r="466" ht="15.75" customHeight="1">
      <c r="B466" s="37"/>
      <c r="C466" s="6"/>
      <c r="D466" s="6"/>
      <c r="E466" s="6"/>
      <c r="F466" s="6"/>
      <c r="G466" s="37"/>
      <c r="H466" s="37"/>
    </row>
    <row r="467" ht="15.75" customHeight="1">
      <c r="B467" s="37"/>
      <c r="C467" s="6"/>
      <c r="D467" s="6"/>
      <c r="E467" s="6"/>
      <c r="F467" s="6"/>
      <c r="G467" s="37"/>
      <c r="H467" s="37"/>
    </row>
    <row r="468" ht="15.75" customHeight="1">
      <c r="B468" s="37"/>
      <c r="C468" s="6"/>
      <c r="D468" s="6"/>
      <c r="E468" s="6"/>
      <c r="F468" s="6"/>
      <c r="G468" s="37"/>
      <c r="H468" s="37"/>
    </row>
    <row r="469" ht="15.75" customHeight="1">
      <c r="B469" s="37"/>
      <c r="C469" s="6"/>
      <c r="D469" s="6"/>
      <c r="E469" s="6"/>
      <c r="F469" s="6"/>
      <c r="G469" s="37"/>
      <c r="H469" s="37"/>
    </row>
    <row r="470" ht="15.75" customHeight="1">
      <c r="B470" s="37"/>
      <c r="C470" s="6"/>
      <c r="D470" s="6"/>
      <c r="E470" s="6"/>
      <c r="F470" s="6"/>
      <c r="G470" s="37"/>
      <c r="H470" s="37"/>
    </row>
    <row r="471" ht="15.75" customHeight="1">
      <c r="B471" s="37"/>
      <c r="C471" s="6"/>
      <c r="D471" s="6"/>
      <c r="E471" s="6"/>
      <c r="F471" s="6"/>
      <c r="G471" s="37"/>
      <c r="H471" s="37"/>
    </row>
    <row r="472" ht="15.75" customHeight="1">
      <c r="B472" s="37"/>
      <c r="C472" s="6"/>
      <c r="D472" s="6"/>
      <c r="E472" s="6"/>
      <c r="F472" s="6"/>
      <c r="G472" s="37"/>
      <c r="H472" s="37"/>
    </row>
    <row r="473" ht="15.75" customHeight="1">
      <c r="B473" s="37"/>
      <c r="C473" s="6"/>
      <c r="D473" s="6"/>
      <c r="E473" s="6"/>
      <c r="F473" s="6"/>
      <c r="G473" s="37"/>
      <c r="H473" s="37"/>
    </row>
    <row r="474" ht="15.75" customHeight="1">
      <c r="B474" s="37"/>
      <c r="C474" s="6"/>
      <c r="D474" s="6"/>
      <c r="E474" s="6"/>
      <c r="F474" s="6"/>
      <c r="G474" s="37"/>
      <c r="H474" s="37"/>
    </row>
    <row r="475" ht="15.75" customHeight="1">
      <c r="B475" s="37"/>
      <c r="C475" s="6"/>
      <c r="D475" s="6"/>
      <c r="E475" s="6"/>
      <c r="F475" s="6"/>
      <c r="G475" s="37"/>
      <c r="H475" s="37"/>
    </row>
    <row r="476" ht="15.75" customHeight="1">
      <c r="B476" s="37"/>
      <c r="C476" s="6"/>
      <c r="D476" s="6"/>
      <c r="E476" s="6"/>
      <c r="F476" s="6"/>
      <c r="G476" s="37"/>
      <c r="H476" s="37"/>
    </row>
    <row r="477" ht="15.75" customHeight="1">
      <c r="B477" s="37"/>
      <c r="C477" s="6"/>
      <c r="D477" s="6"/>
      <c r="E477" s="6"/>
      <c r="F477" s="6"/>
      <c r="G477" s="37"/>
      <c r="H477" s="37"/>
    </row>
    <row r="478" ht="15.75" customHeight="1">
      <c r="B478" s="37"/>
      <c r="C478" s="6"/>
      <c r="D478" s="6"/>
      <c r="E478" s="6"/>
      <c r="F478" s="6"/>
      <c r="G478" s="37"/>
      <c r="H478" s="37"/>
    </row>
    <row r="479" ht="15.75" customHeight="1">
      <c r="B479" s="37"/>
      <c r="C479" s="6"/>
      <c r="D479" s="6"/>
      <c r="E479" s="6"/>
      <c r="F479" s="6"/>
      <c r="G479" s="37"/>
      <c r="H479" s="37"/>
    </row>
    <row r="480" ht="15.75" customHeight="1">
      <c r="B480" s="37"/>
      <c r="C480" s="6"/>
      <c r="D480" s="6"/>
      <c r="E480" s="6"/>
      <c r="F480" s="6"/>
      <c r="G480" s="37"/>
      <c r="H480" s="37"/>
    </row>
    <row r="481" ht="15.75" customHeight="1">
      <c r="B481" s="37"/>
      <c r="C481" s="6"/>
      <c r="D481" s="6"/>
      <c r="E481" s="6"/>
      <c r="F481" s="6"/>
      <c r="G481" s="37"/>
      <c r="H481" s="37"/>
    </row>
    <row r="482" ht="15.75" customHeight="1">
      <c r="B482" s="37"/>
      <c r="C482" s="6"/>
      <c r="D482" s="6"/>
      <c r="E482" s="6"/>
      <c r="F482" s="6"/>
      <c r="G482" s="37"/>
      <c r="H482" s="37"/>
    </row>
    <row r="483" ht="15.75" customHeight="1">
      <c r="B483" s="37"/>
      <c r="C483" s="6"/>
      <c r="D483" s="6"/>
      <c r="E483" s="6"/>
      <c r="F483" s="6"/>
      <c r="G483" s="37"/>
      <c r="H483" s="37"/>
    </row>
    <row r="484" ht="15.75" customHeight="1">
      <c r="B484" s="37"/>
      <c r="C484" s="6"/>
      <c r="D484" s="6"/>
      <c r="E484" s="6"/>
      <c r="F484" s="6"/>
      <c r="G484" s="37"/>
      <c r="H484" s="37"/>
    </row>
    <row r="485" ht="15.75" customHeight="1">
      <c r="B485" s="37"/>
      <c r="C485" s="6"/>
      <c r="D485" s="6"/>
      <c r="E485" s="6"/>
      <c r="F485" s="6"/>
      <c r="G485" s="37"/>
      <c r="H485" s="37"/>
    </row>
    <row r="486" ht="15.75" customHeight="1">
      <c r="B486" s="37"/>
      <c r="C486" s="6"/>
      <c r="D486" s="6"/>
      <c r="E486" s="6"/>
      <c r="F486" s="6"/>
      <c r="G486" s="37"/>
      <c r="H486" s="37"/>
    </row>
    <row r="487" ht="15.75" customHeight="1">
      <c r="B487" s="37"/>
      <c r="C487" s="6"/>
      <c r="D487" s="6"/>
      <c r="E487" s="6"/>
      <c r="F487" s="6"/>
      <c r="G487" s="37"/>
      <c r="H487" s="37"/>
    </row>
    <row r="488" ht="15.75" customHeight="1">
      <c r="B488" s="37"/>
      <c r="C488" s="6"/>
      <c r="D488" s="6"/>
      <c r="E488" s="6"/>
      <c r="F488" s="6"/>
      <c r="G488" s="37"/>
      <c r="H488" s="37"/>
    </row>
    <row r="489" ht="15.75" customHeight="1">
      <c r="B489" s="37"/>
      <c r="C489" s="6"/>
      <c r="D489" s="6"/>
      <c r="E489" s="6"/>
      <c r="F489" s="6"/>
      <c r="G489" s="37"/>
      <c r="H489" s="37"/>
    </row>
    <row r="490" ht="15.75" customHeight="1">
      <c r="B490" s="37"/>
      <c r="C490" s="6"/>
      <c r="D490" s="6"/>
      <c r="E490" s="6"/>
      <c r="F490" s="6"/>
      <c r="G490" s="37"/>
      <c r="H490" s="37"/>
    </row>
    <row r="491" ht="15.75" customHeight="1">
      <c r="B491" s="37"/>
      <c r="C491" s="6"/>
      <c r="D491" s="6"/>
      <c r="E491" s="6"/>
      <c r="F491" s="6"/>
      <c r="G491" s="37"/>
      <c r="H491" s="37"/>
    </row>
    <row r="492" ht="15.75" customHeight="1">
      <c r="B492" s="37"/>
      <c r="C492" s="6"/>
      <c r="D492" s="6"/>
      <c r="E492" s="6"/>
      <c r="F492" s="6"/>
      <c r="G492" s="37"/>
      <c r="H492" s="37"/>
    </row>
    <row r="493" ht="15.75" customHeight="1">
      <c r="B493" s="37"/>
      <c r="C493" s="6"/>
      <c r="D493" s="6"/>
      <c r="E493" s="6"/>
      <c r="F493" s="6"/>
      <c r="G493" s="37"/>
      <c r="H493" s="37"/>
    </row>
    <row r="494" ht="15.75" customHeight="1">
      <c r="B494" s="37"/>
      <c r="C494" s="6"/>
      <c r="D494" s="6"/>
      <c r="E494" s="6"/>
      <c r="F494" s="6"/>
      <c r="G494" s="37"/>
      <c r="H494" s="37"/>
    </row>
    <row r="495" ht="15.75" customHeight="1">
      <c r="B495" s="37"/>
      <c r="C495" s="6"/>
      <c r="D495" s="6"/>
      <c r="E495" s="6"/>
      <c r="F495" s="6"/>
      <c r="G495" s="37"/>
      <c r="H495" s="37"/>
    </row>
    <row r="496" ht="15.75" customHeight="1">
      <c r="B496" s="37"/>
      <c r="C496" s="6"/>
      <c r="D496" s="6"/>
      <c r="E496" s="6"/>
      <c r="F496" s="6"/>
      <c r="G496" s="37"/>
      <c r="H496" s="37"/>
    </row>
    <row r="497" ht="15.75" customHeight="1">
      <c r="B497" s="37"/>
      <c r="C497" s="6"/>
      <c r="D497" s="6"/>
      <c r="E497" s="6"/>
      <c r="F497" s="6"/>
      <c r="G497" s="37"/>
      <c r="H497" s="37"/>
    </row>
    <row r="498" ht="15.75" customHeight="1">
      <c r="B498" s="37"/>
      <c r="C498" s="6"/>
      <c r="D498" s="6"/>
      <c r="E498" s="6"/>
      <c r="F498" s="6"/>
      <c r="G498" s="37"/>
      <c r="H498" s="37"/>
    </row>
    <row r="499" ht="15.75" customHeight="1">
      <c r="B499" s="37"/>
      <c r="C499" s="6"/>
      <c r="D499" s="6"/>
      <c r="E499" s="6"/>
      <c r="F499" s="6"/>
      <c r="G499" s="37"/>
      <c r="H499" s="37"/>
    </row>
    <row r="500" ht="15.75" customHeight="1">
      <c r="B500" s="37"/>
      <c r="C500" s="6"/>
      <c r="D500" s="6"/>
      <c r="E500" s="6"/>
      <c r="F500" s="6"/>
      <c r="G500" s="37"/>
      <c r="H500" s="37"/>
    </row>
    <row r="501" ht="15.75" customHeight="1">
      <c r="B501" s="37"/>
      <c r="C501" s="6"/>
      <c r="D501" s="6"/>
      <c r="E501" s="6"/>
      <c r="F501" s="6"/>
      <c r="G501" s="37"/>
      <c r="H501" s="37"/>
    </row>
    <row r="502" ht="15.75" customHeight="1">
      <c r="B502" s="37"/>
      <c r="C502" s="6"/>
      <c r="D502" s="6"/>
      <c r="E502" s="6"/>
      <c r="F502" s="6"/>
      <c r="G502" s="37"/>
      <c r="H502" s="37"/>
    </row>
    <row r="503" ht="15.75" customHeight="1">
      <c r="B503" s="37"/>
      <c r="C503" s="6"/>
      <c r="D503" s="6"/>
      <c r="E503" s="6"/>
      <c r="F503" s="6"/>
      <c r="G503" s="37"/>
      <c r="H503" s="37"/>
    </row>
    <row r="504" ht="15.75" customHeight="1">
      <c r="C504" s="6"/>
      <c r="D504" s="6"/>
      <c r="E504" s="6"/>
      <c r="F504" s="6"/>
    </row>
    <row r="505" ht="15.75" customHeight="1">
      <c r="C505" s="6"/>
      <c r="D505" s="6"/>
      <c r="E505" s="6"/>
      <c r="F505" s="6"/>
    </row>
    <row r="506" ht="15.75" customHeight="1">
      <c r="C506" s="6"/>
      <c r="D506" s="6"/>
      <c r="E506" s="6"/>
      <c r="F506" s="6"/>
    </row>
    <row r="507" ht="15.75" customHeight="1">
      <c r="C507" s="6"/>
      <c r="D507" s="6"/>
      <c r="E507" s="6"/>
      <c r="F507" s="6"/>
    </row>
    <row r="508" ht="15.75" customHeight="1">
      <c r="C508" s="6"/>
      <c r="D508" s="6"/>
      <c r="E508" s="6"/>
      <c r="F508" s="6"/>
    </row>
    <row r="509" ht="15.75" customHeight="1">
      <c r="C509" s="6"/>
      <c r="D509" s="6"/>
      <c r="E509" s="6"/>
      <c r="F509" s="6"/>
    </row>
    <row r="510" ht="15.75" customHeight="1">
      <c r="C510" s="6"/>
      <c r="D510" s="6"/>
      <c r="E510" s="6"/>
      <c r="F510" s="6"/>
    </row>
    <row r="511" ht="15.75" customHeight="1">
      <c r="C511" s="6"/>
      <c r="D511" s="6"/>
      <c r="E511" s="6"/>
      <c r="F511" s="6"/>
    </row>
    <row r="512" ht="15.75" customHeight="1">
      <c r="C512" s="6"/>
      <c r="D512" s="6"/>
      <c r="E512" s="6"/>
      <c r="F512" s="6"/>
    </row>
    <row r="513" ht="15.75" customHeight="1">
      <c r="C513" s="6"/>
      <c r="D513" s="6"/>
      <c r="E513" s="6"/>
      <c r="F513" s="6"/>
    </row>
    <row r="514" ht="15.75" customHeight="1">
      <c r="C514" s="6"/>
      <c r="D514" s="6"/>
      <c r="E514" s="6"/>
      <c r="F514" s="6"/>
    </row>
    <row r="515" ht="15.75" customHeight="1">
      <c r="C515" s="6"/>
      <c r="D515" s="6"/>
      <c r="E515" s="6"/>
      <c r="F515" s="6"/>
    </row>
    <row r="516" ht="15.75" customHeight="1">
      <c r="C516" s="6"/>
      <c r="D516" s="6"/>
      <c r="E516" s="6"/>
      <c r="F516" s="6"/>
    </row>
    <row r="517" ht="15.75" customHeight="1">
      <c r="C517" s="6"/>
      <c r="D517" s="6"/>
      <c r="E517" s="6"/>
      <c r="F517" s="6"/>
    </row>
    <row r="518" ht="15.75" customHeight="1">
      <c r="C518" s="6"/>
      <c r="D518" s="6"/>
      <c r="E518" s="6"/>
      <c r="F518" s="6"/>
    </row>
    <row r="519" ht="15.75" customHeight="1">
      <c r="C519" s="6"/>
      <c r="D519" s="6"/>
      <c r="E519" s="6"/>
      <c r="F519" s="6"/>
    </row>
    <row r="520" ht="15.75" customHeight="1">
      <c r="C520" s="6"/>
      <c r="D520" s="6"/>
      <c r="E520" s="6"/>
      <c r="F520" s="6"/>
    </row>
    <row r="521" ht="15.75" customHeight="1">
      <c r="C521" s="6"/>
      <c r="D521" s="6"/>
      <c r="E521" s="6"/>
      <c r="F521" s="6"/>
    </row>
    <row r="522" ht="15.75" customHeight="1">
      <c r="C522" s="6"/>
      <c r="D522" s="6"/>
      <c r="E522" s="6"/>
      <c r="F522" s="6"/>
    </row>
    <row r="523" ht="15.75" customHeight="1">
      <c r="C523" s="6"/>
      <c r="D523" s="6"/>
      <c r="E523" s="6"/>
      <c r="F523" s="6"/>
    </row>
    <row r="524" ht="15.75" customHeight="1">
      <c r="C524" s="6"/>
      <c r="D524" s="6"/>
      <c r="E524" s="6"/>
      <c r="F524" s="6"/>
    </row>
    <row r="525" ht="15.75" customHeight="1">
      <c r="C525" s="6"/>
      <c r="D525" s="6"/>
      <c r="E525" s="6"/>
      <c r="F525" s="6"/>
    </row>
    <row r="526" ht="15.75" customHeight="1">
      <c r="C526" s="6"/>
      <c r="D526" s="6"/>
      <c r="E526" s="6"/>
      <c r="F526" s="6"/>
    </row>
    <row r="527" ht="15.75" customHeight="1">
      <c r="C527" s="6"/>
      <c r="D527" s="6"/>
      <c r="E527" s="6"/>
      <c r="F527" s="6"/>
    </row>
    <row r="528" ht="15.75" customHeight="1">
      <c r="C528" s="6"/>
      <c r="D528" s="6"/>
      <c r="E528" s="6"/>
      <c r="F528" s="6"/>
    </row>
    <row r="529" ht="15.75" customHeight="1">
      <c r="C529" s="6"/>
      <c r="D529" s="6"/>
      <c r="E529" s="6"/>
      <c r="F529" s="6"/>
    </row>
    <row r="530" ht="15.75" customHeight="1">
      <c r="C530" s="6"/>
      <c r="D530" s="6"/>
      <c r="E530" s="6"/>
      <c r="F530" s="6"/>
    </row>
    <row r="531" ht="15.75" customHeight="1">
      <c r="C531" s="6"/>
      <c r="D531" s="6"/>
      <c r="E531" s="6"/>
      <c r="F531" s="6"/>
    </row>
    <row r="532" ht="15.75" customHeight="1">
      <c r="C532" s="6"/>
      <c r="D532" s="6"/>
      <c r="E532" s="6"/>
      <c r="F532" s="6"/>
    </row>
    <row r="533" ht="15.75" customHeight="1">
      <c r="C533" s="6"/>
      <c r="D533" s="6"/>
      <c r="E533" s="6"/>
      <c r="F533" s="6"/>
    </row>
    <row r="534" ht="15.75" customHeight="1">
      <c r="C534" s="6"/>
      <c r="D534" s="6"/>
      <c r="E534" s="6"/>
      <c r="F534" s="6"/>
    </row>
    <row r="535" ht="15.75" customHeight="1">
      <c r="C535" s="6"/>
      <c r="D535" s="6"/>
      <c r="E535" s="6"/>
      <c r="F535" s="6"/>
    </row>
    <row r="536" ht="15.75" customHeight="1">
      <c r="C536" s="6"/>
      <c r="D536" s="6"/>
      <c r="E536" s="6"/>
      <c r="F536" s="6"/>
    </row>
    <row r="537" ht="15.75" customHeight="1">
      <c r="C537" s="6"/>
      <c r="D537" s="6"/>
      <c r="E537" s="6"/>
      <c r="F537" s="6"/>
    </row>
    <row r="538" ht="15.75" customHeight="1">
      <c r="C538" s="6"/>
      <c r="D538" s="6"/>
      <c r="E538" s="6"/>
      <c r="F538" s="6"/>
    </row>
    <row r="539" ht="15.75" customHeight="1">
      <c r="C539" s="6"/>
      <c r="D539" s="6"/>
      <c r="E539" s="6"/>
      <c r="F539" s="6"/>
    </row>
    <row r="540" ht="15.75" customHeight="1">
      <c r="C540" s="6"/>
      <c r="D540" s="6"/>
      <c r="E540" s="6"/>
      <c r="F540" s="6"/>
    </row>
    <row r="541" ht="15.75" customHeight="1">
      <c r="C541" s="6"/>
      <c r="D541" s="6"/>
      <c r="E541" s="6"/>
      <c r="F541" s="6"/>
    </row>
    <row r="542" ht="15.75" customHeight="1">
      <c r="C542" s="6"/>
      <c r="D542" s="6"/>
      <c r="E542" s="6"/>
      <c r="F542" s="6"/>
    </row>
    <row r="543" ht="15.75" customHeight="1">
      <c r="C543" s="6"/>
      <c r="D543" s="6"/>
      <c r="E543" s="6"/>
      <c r="F543" s="6"/>
    </row>
    <row r="544" ht="15.75" customHeight="1">
      <c r="C544" s="6"/>
      <c r="D544" s="6"/>
      <c r="E544" s="6"/>
      <c r="F544" s="6"/>
    </row>
    <row r="545" ht="15.75" customHeight="1">
      <c r="C545" s="6"/>
      <c r="D545" s="6"/>
      <c r="E545" s="6"/>
      <c r="F545" s="6"/>
    </row>
    <row r="546" ht="15.75" customHeight="1">
      <c r="C546" s="6"/>
      <c r="D546" s="6"/>
      <c r="E546" s="6"/>
      <c r="F546" s="6"/>
    </row>
    <row r="547" ht="15.75" customHeight="1">
      <c r="C547" s="6"/>
      <c r="D547" s="6"/>
      <c r="E547" s="6"/>
      <c r="F547" s="6"/>
    </row>
    <row r="548" ht="15.75" customHeight="1">
      <c r="C548" s="6"/>
      <c r="D548" s="6"/>
      <c r="E548" s="6"/>
      <c r="F548" s="6"/>
    </row>
    <row r="549" ht="15.75" customHeight="1">
      <c r="C549" s="6"/>
      <c r="D549" s="6"/>
      <c r="E549" s="6"/>
      <c r="F549" s="6"/>
    </row>
    <row r="550" ht="15.75" customHeight="1">
      <c r="C550" s="6"/>
      <c r="D550" s="6"/>
      <c r="E550" s="6"/>
      <c r="F550" s="6"/>
    </row>
    <row r="551" ht="15.75" customHeight="1">
      <c r="C551" s="6"/>
      <c r="D551" s="6"/>
      <c r="E551" s="6"/>
      <c r="F551" s="6"/>
    </row>
    <row r="552" ht="15.75" customHeight="1">
      <c r="C552" s="6"/>
      <c r="D552" s="6"/>
      <c r="E552" s="6"/>
      <c r="F552" s="6"/>
    </row>
    <row r="553" ht="15.75" customHeight="1">
      <c r="C553" s="6"/>
      <c r="D553" s="6"/>
      <c r="E553" s="6"/>
      <c r="F553" s="6"/>
    </row>
    <row r="554" ht="15.75" customHeight="1">
      <c r="C554" s="6"/>
      <c r="D554" s="6"/>
      <c r="E554" s="6"/>
      <c r="F554" s="6"/>
    </row>
    <row r="555" ht="15.75" customHeight="1">
      <c r="C555" s="6"/>
      <c r="D555" s="6"/>
      <c r="E555" s="6"/>
      <c r="F555" s="6"/>
    </row>
    <row r="556" ht="15.75" customHeight="1">
      <c r="C556" s="6"/>
      <c r="D556" s="6"/>
      <c r="E556" s="6"/>
      <c r="F556" s="6"/>
    </row>
    <row r="557" ht="15.75" customHeight="1">
      <c r="C557" s="6"/>
      <c r="D557" s="6"/>
      <c r="E557" s="6"/>
      <c r="F557" s="6"/>
    </row>
    <row r="558" ht="15.75" customHeight="1">
      <c r="C558" s="6"/>
      <c r="D558" s="6"/>
      <c r="E558" s="6"/>
      <c r="F558" s="6"/>
    </row>
    <row r="559" ht="15.75" customHeight="1">
      <c r="C559" s="6"/>
      <c r="D559" s="6"/>
      <c r="E559" s="6"/>
      <c r="F559" s="6"/>
    </row>
    <row r="560" ht="15.75" customHeight="1">
      <c r="C560" s="6"/>
      <c r="D560" s="6"/>
      <c r="E560" s="6"/>
      <c r="F560" s="6"/>
    </row>
    <row r="561" ht="15.75" customHeight="1">
      <c r="C561" s="6"/>
      <c r="D561" s="6"/>
      <c r="E561" s="6"/>
      <c r="F561" s="6"/>
    </row>
    <row r="562" ht="15.75" customHeight="1">
      <c r="C562" s="6"/>
      <c r="D562" s="6"/>
      <c r="E562" s="6"/>
      <c r="F562" s="6"/>
    </row>
    <row r="563" ht="15.75" customHeight="1">
      <c r="C563" s="6"/>
      <c r="D563" s="6"/>
      <c r="E563" s="6"/>
      <c r="F563" s="6"/>
    </row>
    <row r="564" ht="15.75" customHeight="1">
      <c r="C564" s="6"/>
      <c r="D564" s="6"/>
      <c r="E564" s="6"/>
      <c r="F564" s="6"/>
    </row>
    <row r="565" ht="15.75" customHeight="1">
      <c r="C565" s="6"/>
      <c r="D565" s="6"/>
      <c r="E565" s="6"/>
      <c r="F565" s="6"/>
    </row>
    <row r="566" ht="15.75" customHeight="1">
      <c r="C566" s="6"/>
      <c r="D566" s="6"/>
      <c r="E566" s="6"/>
      <c r="F566" s="6"/>
    </row>
    <row r="567" ht="15.75" customHeight="1">
      <c r="C567" s="6"/>
      <c r="D567" s="6"/>
      <c r="E567" s="6"/>
      <c r="F567" s="6"/>
    </row>
    <row r="568" ht="15.75" customHeight="1">
      <c r="C568" s="6"/>
      <c r="D568" s="6"/>
      <c r="E568" s="6"/>
      <c r="F568" s="6"/>
    </row>
    <row r="569" ht="15.75" customHeight="1">
      <c r="C569" s="6"/>
      <c r="D569" s="6"/>
      <c r="E569" s="6"/>
      <c r="F569" s="6"/>
    </row>
    <row r="570" ht="15.75" customHeight="1">
      <c r="C570" s="6"/>
      <c r="D570" s="6"/>
      <c r="E570" s="6"/>
      <c r="F570" s="6"/>
    </row>
    <row r="571" ht="15.75" customHeight="1">
      <c r="C571" s="6"/>
      <c r="D571" s="6"/>
      <c r="E571" s="6"/>
      <c r="F571" s="6"/>
    </row>
    <row r="572" ht="15.75" customHeight="1">
      <c r="C572" s="6"/>
      <c r="D572" s="6"/>
      <c r="E572" s="6"/>
      <c r="F572" s="6"/>
    </row>
    <row r="573" ht="15.75" customHeight="1">
      <c r="C573" s="6"/>
      <c r="D573" s="6"/>
      <c r="E573" s="6"/>
      <c r="F573" s="6"/>
    </row>
    <row r="574" ht="15.75" customHeight="1">
      <c r="C574" s="6"/>
      <c r="D574" s="6"/>
      <c r="E574" s="6"/>
      <c r="F574" s="6"/>
    </row>
    <row r="575" ht="15.75" customHeight="1">
      <c r="C575" s="6"/>
      <c r="D575" s="6"/>
      <c r="E575" s="6"/>
      <c r="F575" s="6"/>
    </row>
    <row r="576" ht="15.75" customHeight="1">
      <c r="C576" s="6"/>
      <c r="D576" s="6"/>
      <c r="E576" s="6"/>
      <c r="F576" s="6"/>
    </row>
    <row r="577" ht="15.75" customHeight="1">
      <c r="C577" s="6"/>
      <c r="D577" s="6"/>
      <c r="E577" s="6"/>
      <c r="F577" s="6"/>
    </row>
    <row r="578" ht="15.75" customHeight="1">
      <c r="C578" s="6"/>
      <c r="D578" s="6"/>
      <c r="E578" s="6"/>
      <c r="F578" s="6"/>
    </row>
    <row r="579" ht="15.75" customHeight="1">
      <c r="C579" s="6"/>
      <c r="D579" s="6"/>
      <c r="E579" s="6"/>
      <c r="F579" s="6"/>
    </row>
    <row r="580" ht="15.75" customHeight="1">
      <c r="C580" s="6"/>
      <c r="D580" s="6"/>
      <c r="E580" s="6"/>
      <c r="F580" s="6"/>
    </row>
    <row r="581" ht="15.75" customHeight="1">
      <c r="C581" s="6"/>
      <c r="D581" s="6"/>
      <c r="E581" s="6"/>
      <c r="F581" s="6"/>
    </row>
    <row r="582" ht="15.75" customHeight="1">
      <c r="C582" s="6"/>
      <c r="D582" s="6"/>
      <c r="E582" s="6"/>
      <c r="F582" s="6"/>
    </row>
    <row r="583" ht="15.75" customHeight="1">
      <c r="C583" s="6"/>
      <c r="D583" s="6"/>
      <c r="E583" s="6"/>
      <c r="F583" s="6"/>
    </row>
    <row r="584" ht="15.75" customHeight="1">
      <c r="C584" s="6"/>
      <c r="D584" s="6"/>
      <c r="E584" s="6"/>
      <c r="F584" s="6"/>
    </row>
    <row r="585" ht="15.75" customHeight="1">
      <c r="C585" s="6"/>
      <c r="D585" s="6"/>
      <c r="E585" s="6"/>
      <c r="F585" s="6"/>
    </row>
    <row r="586" ht="15.75" customHeight="1">
      <c r="C586" s="6"/>
      <c r="D586" s="6"/>
      <c r="E586" s="6"/>
      <c r="F586" s="6"/>
    </row>
    <row r="587" ht="15.75" customHeight="1">
      <c r="C587" s="6"/>
      <c r="D587" s="6"/>
      <c r="E587" s="6"/>
      <c r="F587" s="6"/>
    </row>
    <row r="588" ht="15.75" customHeight="1">
      <c r="C588" s="6"/>
      <c r="D588" s="6"/>
      <c r="E588" s="6"/>
      <c r="F588" s="6"/>
    </row>
    <row r="589" ht="15.75" customHeight="1">
      <c r="C589" s="6"/>
      <c r="D589" s="6"/>
      <c r="E589" s="6"/>
      <c r="F589" s="6"/>
    </row>
    <row r="590" ht="15.75" customHeight="1">
      <c r="C590" s="6"/>
      <c r="D590" s="6"/>
      <c r="E590" s="6"/>
      <c r="F590" s="6"/>
    </row>
    <row r="591" ht="15.75" customHeight="1">
      <c r="C591" s="6"/>
      <c r="D591" s="6"/>
      <c r="E591" s="6"/>
      <c r="F591" s="6"/>
    </row>
    <row r="592" ht="15.75" customHeight="1">
      <c r="C592" s="6"/>
      <c r="D592" s="6"/>
      <c r="E592" s="6"/>
      <c r="F592" s="6"/>
    </row>
    <row r="593" ht="15.75" customHeight="1">
      <c r="C593" s="6"/>
      <c r="D593" s="6"/>
      <c r="E593" s="6"/>
      <c r="F593" s="6"/>
    </row>
    <row r="594" ht="15.75" customHeight="1">
      <c r="C594" s="6"/>
      <c r="D594" s="6"/>
      <c r="E594" s="6"/>
      <c r="F594" s="6"/>
    </row>
    <row r="595" ht="15.75" customHeight="1">
      <c r="C595" s="6"/>
      <c r="D595" s="6"/>
      <c r="E595" s="6"/>
      <c r="F595" s="6"/>
    </row>
    <row r="596" ht="15.75" customHeight="1">
      <c r="C596" s="6"/>
      <c r="D596" s="6"/>
      <c r="E596" s="6"/>
      <c r="F596" s="6"/>
    </row>
    <row r="597" ht="15.75" customHeight="1">
      <c r="C597" s="6"/>
      <c r="D597" s="6"/>
      <c r="E597" s="6"/>
      <c r="F597" s="6"/>
    </row>
    <row r="598" ht="15.75" customHeight="1">
      <c r="C598" s="6"/>
      <c r="D598" s="6"/>
      <c r="E598" s="6"/>
      <c r="F598" s="6"/>
    </row>
    <row r="599" ht="15.75" customHeight="1">
      <c r="C599" s="6"/>
      <c r="D599" s="6"/>
      <c r="E599" s="6"/>
      <c r="F599" s="6"/>
    </row>
    <row r="600" ht="15.75" customHeight="1">
      <c r="C600" s="6"/>
      <c r="D600" s="6"/>
      <c r="E600" s="6"/>
      <c r="F600" s="6"/>
    </row>
    <row r="601" ht="15.75" customHeight="1">
      <c r="C601" s="6"/>
      <c r="D601" s="6"/>
      <c r="E601" s="6"/>
      <c r="F601" s="6"/>
    </row>
    <row r="602" ht="15.75" customHeight="1">
      <c r="C602" s="6"/>
      <c r="D602" s="6"/>
      <c r="E602" s="6"/>
      <c r="F602" s="6"/>
    </row>
    <row r="603" ht="15.75" customHeight="1">
      <c r="C603" s="6"/>
      <c r="D603" s="6"/>
      <c r="E603" s="6"/>
      <c r="F603" s="6"/>
    </row>
    <row r="604" ht="15.75" customHeight="1">
      <c r="C604" s="6"/>
      <c r="D604" s="6"/>
      <c r="E604" s="6"/>
      <c r="F604" s="6"/>
    </row>
    <row r="605" ht="15.75" customHeight="1">
      <c r="C605" s="6"/>
      <c r="D605" s="6"/>
      <c r="E605" s="6"/>
      <c r="F605" s="6"/>
    </row>
    <row r="606" ht="15.75" customHeight="1">
      <c r="C606" s="6"/>
      <c r="D606" s="6"/>
      <c r="E606" s="6"/>
      <c r="F606" s="6"/>
    </row>
    <row r="607" ht="15.75" customHeight="1">
      <c r="C607" s="6"/>
      <c r="D607" s="6"/>
      <c r="E607" s="6"/>
      <c r="F607" s="6"/>
    </row>
    <row r="608" ht="15.75" customHeight="1">
      <c r="C608" s="6"/>
      <c r="D608" s="6"/>
      <c r="E608" s="6"/>
      <c r="F608" s="6"/>
    </row>
    <row r="609" ht="15.75" customHeight="1">
      <c r="C609" s="6"/>
      <c r="D609" s="6"/>
      <c r="E609" s="6"/>
      <c r="F609" s="6"/>
    </row>
    <row r="610" ht="15.75" customHeight="1">
      <c r="C610" s="6"/>
      <c r="D610" s="6"/>
      <c r="E610" s="6"/>
      <c r="F610" s="6"/>
    </row>
    <row r="611" ht="15.75" customHeight="1">
      <c r="C611" s="6"/>
      <c r="D611" s="6"/>
      <c r="E611" s="6"/>
      <c r="F611" s="6"/>
    </row>
    <row r="612" ht="15.75" customHeight="1">
      <c r="C612" s="6"/>
      <c r="D612" s="6"/>
      <c r="E612" s="6"/>
      <c r="F612" s="6"/>
    </row>
    <row r="613" ht="15.75" customHeight="1">
      <c r="C613" s="6"/>
      <c r="D613" s="6"/>
      <c r="E613" s="6"/>
      <c r="F613" s="6"/>
    </row>
    <row r="614" ht="15.75" customHeight="1">
      <c r="C614" s="6"/>
      <c r="D614" s="6"/>
      <c r="E614" s="6"/>
      <c r="F614" s="6"/>
    </row>
    <row r="615" ht="15.75" customHeight="1">
      <c r="C615" s="6"/>
      <c r="D615" s="6"/>
      <c r="E615" s="6"/>
      <c r="F615" s="6"/>
    </row>
    <row r="616" ht="15.75" customHeight="1">
      <c r="C616" s="6"/>
      <c r="D616" s="6"/>
      <c r="E616" s="6"/>
      <c r="F616" s="6"/>
    </row>
    <row r="617" ht="15.75" customHeight="1">
      <c r="C617" s="6"/>
      <c r="D617" s="6"/>
      <c r="E617" s="6"/>
      <c r="F617" s="6"/>
    </row>
    <row r="618" ht="15.75" customHeight="1">
      <c r="C618" s="6"/>
      <c r="D618" s="6"/>
      <c r="E618" s="6"/>
      <c r="F618" s="6"/>
    </row>
    <row r="619" ht="15.75" customHeight="1">
      <c r="C619" s="6"/>
      <c r="D619" s="6"/>
      <c r="E619" s="6"/>
      <c r="F619" s="6"/>
    </row>
    <row r="620" ht="15.75" customHeight="1">
      <c r="C620" s="6"/>
      <c r="D620" s="6"/>
      <c r="E620" s="6"/>
      <c r="F620" s="6"/>
    </row>
    <row r="621" ht="15.75" customHeight="1">
      <c r="C621" s="6"/>
      <c r="D621" s="6"/>
      <c r="E621" s="6"/>
      <c r="F621" s="6"/>
    </row>
    <row r="622" ht="15.75" customHeight="1">
      <c r="C622" s="6"/>
      <c r="D622" s="6"/>
      <c r="E622" s="6"/>
      <c r="F622" s="6"/>
    </row>
    <row r="623" ht="15.75" customHeight="1">
      <c r="C623" s="6"/>
      <c r="D623" s="6"/>
      <c r="E623" s="6"/>
      <c r="F623" s="6"/>
    </row>
    <row r="624" ht="15.75" customHeight="1">
      <c r="C624" s="6"/>
      <c r="D624" s="6"/>
      <c r="E624" s="6"/>
      <c r="F624" s="6"/>
    </row>
    <row r="625" ht="15.75" customHeight="1">
      <c r="C625" s="6"/>
      <c r="D625" s="6"/>
      <c r="E625" s="6"/>
      <c r="F625" s="6"/>
    </row>
    <row r="626" ht="15.75" customHeight="1">
      <c r="C626" s="6"/>
      <c r="D626" s="6"/>
      <c r="E626" s="6"/>
      <c r="F626" s="6"/>
    </row>
    <row r="627" ht="15.75" customHeight="1">
      <c r="C627" s="6"/>
      <c r="D627" s="6"/>
      <c r="E627" s="6"/>
      <c r="F627" s="6"/>
    </row>
    <row r="628" ht="15.75" customHeight="1">
      <c r="C628" s="6"/>
      <c r="D628" s="6"/>
      <c r="E628" s="6"/>
      <c r="F628" s="6"/>
    </row>
    <row r="629" ht="15.75" customHeight="1">
      <c r="C629" s="6"/>
      <c r="D629" s="6"/>
      <c r="E629" s="6"/>
      <c r="F629" s="6"/>
    </row>
    <row r="630" ht="15.75" customHeight="1">
      <c r="C630" s="6"/>
      <c r="D630" s="6"/>
      <c r="E630" s="6"/>
      <c r="F630" s="6"/>
    </row>
    <row r="631" ht="15.75" customHeight="1">
      <c r="C631" s="6"/>
      <c r="D631" s="6"/>
      <c r="E631" s="6"/>
      <c r="F631" s="6"/>
    </row>
    <row r="632" ht="15.75" customHeight="1">
      <c r="C632" s="6"/>
      <c r="D632" s="6"/>
      <c r="E632" s="6"/>
      <c r="F632" s="6"/>
    </row>
    <row r="633" ht="15.75" customHeight="1">
      <c r="C633" s="6"/>
      <c r="D633" s="6"/>
      <c r="E633" s="6"/>
      <c r="F633" s="6"/>
    </row>
    <row r="634" ht="15.75" customHeight="1">
      <c r="C634" s="6"/>
      <c r="D634" s="6"/>
      <c r="E634" s="6"/>
      <c r="F634" s="6"/>
    </row>
    <row r="635" ht="15.75" customHeight="1">
      <c r="C635" s="6"/>
      <c r="D635" s="6"/>
      <c r="E635" s="6"/>
      <c r="F635" s="6"/>
    </row>
    <row r="636" ht="15.75" customHeight="1">
      <c r="C636" s="6"/>
      <c r="D636" s="6"/>
      <c r="E636" s="6"/>
      <c r="F636" s="6"/>
    </row>
    <row r="637" ht="15.75" customHeight="1">
      <c r="C637" s="6"/>
      <c r="D637" s="6"/>
      <c r="E637" s="6"/>
      <c r="F637" s="6"/>
    </row>
    <row r="638" ht="15.75" customHeight="1">
      <c r="C638" s="6"/>
      <c r="D638" s="6"/>
      <c r="E638" s="6"/>
      <c r="F638" s="6"/>
    </row>
    <row r="639" ht="15.75" customHeight="1">
      <c r="C639" s="6"/>
      <c r="D639" s="6"/>
      <c r="E639" s="6"/>
      <c r="F639" s="6"/>
    </row>
    <row r="640" ht="15.75" customHeight="1">
      <c r="C640" s="6"/>
      <c r="D640" s="6"/>
      <c r="E640" s="6"/>
      <c r="F640" s="6"/>
    </row>
    <row r="641" ht="15.75" customHeight="1">
      <c r="C641" s="6"/>
      <c r="D641" s="6"/>
      <c r="E641" s="6"/>
      <c r="F641" s="6"/>
    </row>
    <row r="642" ht="15.75" customHeight="1">
      <c r="C642" s="6"/>
      <c r="D642" s="6"/>
      <c r="E642" s="6"/>
      <c r="F642" s="6"/>
    </row>
    <row r="643" ht="15.75" customHeight="1">
      <c r="C643" s="6"/>
      <c r="D643" s="6"/>
      <c r="E643" s="6"/>
      <c r="F643" s="6"/>
    </row>
    <row r="644" ht="15.75" customHeight="1">
      <c r="C644" s="6"/>
      <c r="D644" s="6"/>
      <c r="E644" s="6"/>
      <c r="F644" s="6"/>
    </row>
    <row r="645" ht="15.75" customHeight="1">
      <c r="C645" s="6"/>
      <c r="D645" s="6"/>
      <c r="E645" s="6"/>
      <c r="F645" s="6"/>
    </row>
    <row r="646" ht="15.75" customHeight="1">
      <c r="C646" s="6"/>
      <c r="D646" s="6"/>
      <c r="E646" s="6"/>
      <c r="F646" s="6"/>
    </row>
    <row r="647" ht="15.75" customHeight="1">
      <c r="C647" s="6"/>
      <c r="D647" s="6"/>
      <c r="E647" s="6"/>
      <c r="F647" s="6"/>
    </row>
    <row r="648" ht="15.75" customHeight="1">
      <c r="C648" s="6"/>
      <c r="D648" s="6"/>
      <c r="E648" s="6"/>
      <c r="F648" s="6"/>
    </row>
    <row r="649" ht="15.75" customHeight="1">
      <c r="C649" s="6"/>
      <c r="D649" s="6"/>
      <c r="E649" s="6"/>
      <c r="F649" s="6"/>
    </row>
    <row r="650" ht="15.75" customHeight="1">
      <c r="C650" s="6"/>
      <c r="D650" s="6"/>
      <c r="E650" s="6"/>
      <c r="F650" s="6"/>
    </row>
    <row r="651" ht="15.75" customHeight="1">
      <c r="C651" s="6"/>
      <c r="D651" s="6"/>
      <c r="E651" s="6"/>
      <c r="F651" s="6"/>
    </row>
    <row r="652" ht="15.75" customHeight="1">
      <c r="C652" s="6"/>
      <c r="D652" s="6"/>
      <c r="E652" s="6"/>
      <c r="F652" s="6"/>
    </row>
    <row r="653" ht="15.75" customHeight="1">
      <c r="C653" s="6"/>
      <c r="D653" s="6"/>
      <c r="E653" s="6"/>
      <c r="F653" s="6"/>
    </row>
    <row r="654" ht="15.75" customHeight="1">
      <c r="C654" s="6"/>
      <c r="D654" s="6"/>
      <c r="E654" s="6"/>
      <c r="F654" s="6"/>
    </row>
    <row r="655" ht="15.75" customHeight="1">
      <c r="C655" s="6"/>
      <c r="D655" s="6"/>
      <c r="E655" s="6"/>
      <c r="F655" s="6"/>
    </row>
    <row r="656" ht="15.75" customHeight="1">
      <c r="C656" s="6"/>
      <c r="D656" s="6"/>
      <c r="E656" s="6"/>
      <c r="F656" s="6"/>
    </row>
    <row r="657" ht="15.75" customHeight="1">
      <c r="C657" s="6"/>
      <c r="D657" s="6"/>
      <c r="E657" s="6"/>
      <c r="F657" s="6"/>
    </row>
    <row r="658" ht="15.75" customHeight="1">
      <c r="C658" s="6"/>
      <c r="D658" s="6"/>
      <c r="E658" s="6"/>
      <c r="F658" s="6"/>
    </row>
    <row r="659" ht="15.75" customHeight="1">
      <c r="C659" s="6"/>
      <c r="D659" s="6"/>
      <c r="E659" s="6"/>
      <c r="F659" s="6"/>
    </row>
    <row r="660" ht="15.75" customHeight="1">
      <c r="C660" s="6"/>
      <c r="D660" s="6"/>
      <c r="E660" s="6"/>
      <c r="F660" s="6"/>
    </row>
    <row r="661" ht="15.75" customHeight="1">
      <c r="C661" s="6"/>
      <c r="D661" s="6"/>
      <c r="E661" s="6"/>
      <c r="F661" s="6"/>
    </row>
    <row r="662" ht="15.75" customHeight="1">
      <c r="C662" s="6"/>
      <c r="D662" s="6"/>
      <c r="E662" s="6"/>
      <c r="F662" s="6"/>
    </row>
    <row r="663" ht="15.75" customHeight="1">
      <c r="C663" s="6"/>
      <c r="D663" s="6"/>
      <c r="E663" s="6"/>
      <c r="F663" s="6"/>
    </row>
    <row r="664" ht="15.75" customHeight="1">
      <c r="C664" s="6"/>
      <c r="D664" s="6"/>
      <c r="E664" s="6"/>
      <c r="F664" s="6"/>
    </row>
    <row r="665" ht="15.75" customHeight="1">
      <c r="C665" s="6"/>
      <c r="D665" s="6"/>
      <c r="E665" s="6"/>
      <c r="F665" s="6"/>
    </row>
    <row r="666" ht="15.75" customHeight="1">
      <c r="C666" s="6"/>
      <c r="D666" s="6"/>
      <c r="E666" s="6"/>
      <c r="F666" s="6"/>
    </row>
    <row r="667" ht="15.75" customHeight="1">
      <c r="C667" s="6"/>
      <c r="D667" s="6"/>
      <c r="E667" s="6"/>
      <c r="F667" s="6"/>
    </row>
    <row r="668" ht="15.75" customHeight="1">
      <c r="C668" s="6"/>
      <c r="D668" s="6"/>
      <c r="E668" s="6"/>
      <c r="F668" s="6"/>
    </row>
    <row r="669" ht="15.75" customHeight="1">
      <c r="C669" s="6"/>
      <c r="D669" s="6"/>
      <c r="E669" s="6"/>
      <c r="F669" s="6"/>
    </row>
    <row r="670" ht="15.75" customHeight="1">
      <c r="C670" s="6"/>
      <c r="D670" s="6"/>
      <c r="E670" s="6"/>
      <c r="F670" s="6"/>
    </row>
    <row r="671" ht="15.75" customHeight="1">
      <c r="C671" s="6"/>
      <c r="D671" s="6"/>
      <c r="E671" s="6"/>
      <c r="F671" s="6"/>
    </row>
    <row r="672" ht="15.75" customHeight="1">
      <c r="C672" s="6"/>
      <c r="D672" s="6"/>
      <c r="E672" s="6"/>
      <c r="F672" s="6"/>
    </row>
    <row r="673" ht="15.75" customHeight="1">
      <c r="C673" s="6"/>
      <c r="D673" s="6"/>
      <c r="E673" s="6"/>
      <c r="F673" s="6"/>
    </row>
    <row r="674" ht="15.75" customHeight="1">
      <c r="C674" s="6"/>
      <c r="D674" s="6"/>
      <c r="E674" s="6"/>
      <c r="F674" s="6"/>
    </row>
    <row r="675" ht="15.75" customHeight="1">
      <c r="C675" s="6"/>
      <c r="D675" s="6"/>
      <c r="E675" s="6"/>
      <c r="F675" s="6"/>
    </row>
    <row r="676" ht="15.75" customHeight="1">
      <c r="C676" s="6"/>
      <c r="D676" s="6"/>
      <c r="E676" s="6"/>
      <c r="F676" s="6"/>
    </row>
    <row r="677" ht="15.75" customHeight="1">
      <c r="C677" s="6"/>
      <c r="D677" s="6"/>
      <c r="E677" s="6"/>
      <c r="F677" s="6"/>
    </row>
    <row r="678" ht="15.75" customHeight="1">
      <c r="C678" s="6"/>
      <c r="D678" s="6"/>
      <c r="E678" s="6"/>
      <c r="F678" s="6"/>
    </row>
    <row r="679" ht="15.75" customHeight="1">
      <c r="C679" s="6"/>
      <c r="D679" s="6"/>
      <c r="E679" s="6"/>
      <c r="F679" s="6"/>
    </row>
    <row r="680" ht="15.75" customHeight="1">
      <c r="C680" s="6"/>
      <c r="D680" s="6"/>
      <c r="E680" s="6"/>
      <c r="F680" s="6"/>
    </row>
    <row r="681" ht="15.75" customHeight="1">
      <c r="C681" s="6"/>
      <c r="D681" s="6"/>
      <c r="E681" s="6"/>
      <c r="F681" s="6"/>
    </row>
    <row r="682" ht="15.75" customHeight="1">
      <c r="C682" s="6"/>
      <c r="D682" s="6"/>
      <c r="E682" s="6"/>
      <c r="F682" s="6"/>
    </row>
    <row r="683" ht="15.75" customHeight="1">
      <c r="C683" s="6"/>
      <c r="D683" s="6"/>
      <c r="E683" s="6"/>
      <c r="F683" s="6"/>
    </row>
    <row r="684" ht="15.75" customHeight="1">
      <c r="C684" s="6"/>
      <c r="D684" s="6"/>
      <c r="E684" s="6"/>
      <c r="F684" s="6"/>
    </row>
    <row r="685" ht="15.75" customHeight="1">
      <c r="C685" s="6"/>
      <c r="D685" s="6"/>
      <c r="E685" s="6"/>
      <c r="F685" s="6"/>
    </row>
    <row r="686" ht="15.75" customHeight="1">
      <c r="C686" s="6"/>
      <c r="D686" s="6"/>
      <c r="E686" s="6"/>
      <c r="F686" s="6"/>
    </row>
    <row r="687" ht="15.75" customHeight="1">
      <c r="C687" s="6"/>
      <c r="D687" s="6"/>
      <c r="E687" s="6"/>
      <c r="F687" s="6"/>
    </row>
    <row r="688" ht="15.75" customHeight="1">
      <c r="C688" s="6"/>
      <c r="D688" s="6"/>
      <c r="E688" s="6"/>
      <c r="F688" s="6"/>
    </row>
    <row r="689" ht="15.75" customHeight="1">
      <c r="C689" s="6"/>
      <c r="D689" s="6"/>
      <c r="E689" s="6"/>
      <c r="F689" s="6"/>
    </row>
    <row r="690" ht="15.75" customHeight="1">
      <c r="C690" s="6"/>
      <c r="D690" s="6"/>
      <c r="E690" s="6"/>
      <c r="F690" s="6"/>
    </row>
    <row r="691" ht="15.75" customHeight="1">
      <c r="C691" s="6"/>
      <c r="D691" s="6"/>
      <c r="E691" s="6"/>
      <c r="F691" s="6"/>
    </row>
    <row r="692" ht="15.75" customHeight="1">
      <c r="C692" s="6"/>
      <c r="D692" s="6"/>
      <c r="E692" s="6"/>
      <c r="F692" s="6"/>
    </row>
    <row r="693" ht="15.75" customHeight="1">
      <c r="C693" s="6"/>
      <c r="D693" s="6"/>
      <c r="E693" s="6"/>
      <c r="F693" s="6"/>
    </row>
    <row r="694" ht="15.75" customHeight="1">
      <c r="C694" s="6"/>
      <c r="D694" s="6"/>
      <c r="E694" s="6"/>
      <c r="F694" s="6"/>
    </row>
    <row r="695" ht="15.75" customHeight="1">
      <c r="C695" s="6"/>
      <c r="D695" s="6"/>
      <c r="E695" s="6"/>
      <c r="F695" s="6"/>
    </row>
    <row r="696" ht="15.75" customHeight="1">
      <c r="C696" s="6"/>
      <c r="D696" s="6"/>
      <c r="E696" s="6"/>
      <c r="F696" s="6"/>
    </row>
    <row r="697" ht="15.75" customHeight="1">
      <c r="C697" s="6"/>
      <c r="D697" s="6"/>
      <c r="E697" s="6"/>
      <c r="F697" s="6"/>
    </row>
    <row r="698" ht="15.75" customHeight="1">
      <c r="C698" s="6"/>
      <c r="D698" s="6"/>
      <c r="E698" s="6"/>
      <c r="F698" s="6"/>
    </row>
    <row r="699" ht="15.75" customHeight="1">
      <c r="C699" s="6"/>
      <c r="D699" s="6"/>
      <c r="E699" s="6"/>
      <c r="F699" s="6"/>
    </row>
    <row r="700" ht="15.75" customHeight="1">
      <c r="C700" s="6"/>
      <c r="D700" s="6"/>
      <c r="E700" s="6"/>
      <c r="F700" s="6"/>
    </row>
    <row r="701" ht="15.75" customHeight="1">
      <c r="C701" s="6"/>
      <c r="D701" s="6"/>
      <c r="E701" s="6"/>
      <c r="F701" s="6"/>
    </row>
    <row r="702" ht="15.75" customHeight="1">
      <c r="C702" s="6"/>
      <c r="D702" s="6"/>
      <c r="E702" s="6"/>
      <c r="F702" s="6"/>
    </row>
    <row r="703" ht="15.75" customHeight="1">
      <c r="C703" s="6"/>
      <c r="D703" s="6"/>
      <c r="E703" s="6"/>
      <c r="F703" s="6"/>
    </row>
    <row r="704" ht="15.75" customHeight="1">
      <c r="C704" s="6"/>
      <c r="D704" s="6"/>
      <c r="E704" s="6"/>
      <c r="F704" s="6"/>
    </row>
    <row r="705" ht="15.75" customHeight="1">
      <c r="C705" s="6"/>
      <c r="D705" s="6"/>
      <c r="E705" s="6"/>
      <c r="F705" s="6"/>
    </row>
    <row r="706" ht="15.75" customHeight="1">
      <c r="C706" s="6"/>
      <c r="D706" s="6"/>
      <c r="E706" s="6"/>
      <c r="F706" s="6"/>
    </row>
    <row r="707" ht="15.75" customHeight="1">
      <c r="C707" s="6"/>
      <c r="D707" s="6"/>
      <c r="E707" s="6"/>
      <c r="F707" s="6"/>
    </row>
    <row r="708" ht="15.75" customHeight="1">
      <c r="C708" s="6"/>
      <c r="D708" s="6"/>
      <c r="E708" s="6"/>
      <c r="F708" s="6"/>
    </row>
    <row r="709" ht="15.75" customHeight="1">
      <c r="C709" s="6"/>
      <c r="D709" s="6"/>
      <c r="E709" s="6"/>
      <c r="F709" s="6"/>
    </row>
    <row r="710" ht="15.75" customHeight="1">
      <c r="C710" s="6"/>
      <c r="D710" s="6"/>
      <c r="E710" s="6"/>
      <c r="F710" s="6"/>
    </row>
    <row r="711" ht="15.75" customHeight="1">
      <c r="C711" s="6"/>
      <c r="D711" s="6"/>
      <c r="E711" s="6"/>
      <c r="F711" s="6"/>
    </row>
    <row r="712" ht="15.75" customHeight="1">
      <c r="C712" s="6"/>
      <c r="D712" s="6"/>
      <c r="E712" s="6"/>
      <c r="F712" s="6"/>
    </row>
    <row r="713" ht="15.75" customHeight="1">
      <c r="C713" s="6"/>
      <c r="D713" s="6"/>
      <c r="E713" s="6"/>
      <c r="F713" s="6"/>
    </row>
    <row r="714" ht="15.75" customHeight="1">
      <c r="C714" s="6"/>
      <c r="D714" s="6"/>
      <c r="E714" s="6"/>
      <c r="F714" s="6"/>
    </row>
    <row r="715" ht="15.75" customHeight="1">
      <c r="C715" s="6"/>
      <c r="D715" s="6"/>
      <c r="E715" s="6"/>
      <c r="F715" s="6"/>
    </row>
    <row r="716" ht="15.75" customHeight="1">
      <c r="C716" s="6"/>
      <c r="D716" s="6"/>
      <c r="E716" s="6"/>
      <c r="F716" s="6"/>
    </row>
    <row r="717" ht="15.75" customHeight="1">
      <c r="C717" s="6"/>
      <c r="D717" s="6"/>
      <c r="E717" s="6"/>
      <c r="F717" s="6"/>
    </row>
    <row r="718" ht="15.75" customHeight="1">
      <c r="C718" s="6"/>
      <c r="D718" s="6"/>
      <c r="E718" s="6"/>
      <c r="F718" s="6"/>
    </row>
    <row r="719" ht="15.75" customHeight="1">
      <c r="C719" s="6"/>
      <c r="D719" s="6"/>
      <c r="E719" s="6"/>
      <c r="F719" s="6"/>
    </row>
    <row r="720" ht="15.75" customHeight="1">
      <c r="C720" s="6"/>
      <c r="D720" s="6"/>
      <c r="E720" s="6"/>
      <c r="F720" s="6"/>
    </row>
    <row r="721" ht="15.75" customHeight="1">
      <c r="C721" s="6"/>
      <c r="D721" s="6"/>
      <c r="E721" s="6"/>
      <c r="F721" s="6"/>
    </row>
    <row r="722" ht="15.75" customHeight="1">
      <c r="C722" s="6"/>
      <c r="D722" s="6"/>
      <c r="E722" s="6"/>
      <c r="F722" s="6"/>
    </row>
    <row r="723" ht="15.75" customHeight="1">
      <c r="C723" s="6"/>
      <c r="D723" s="6"/>
      <c r="E723" s="6"/>
      <c r="F723" s="6"/>
    </row>
    <row r="724" ht="15.75" customHeight="1">
      <c r="C724" s="6"/>
      <c r="D724" s="6"/>
      <c r="E724" s="6"/>
      <c r="F724" s="6"/>
    </row>
    <row r="725" ht="15.75" customHeight="1">
      <c r="C725" s="6"/>
      <c r="D725" s="6"/>
      <c r="E725" s="6"/>
      <c r="F725" s="6"/>
    </row>
    <row r="726" ht="15.75" customHeight="1">
      <c r="C726" s="6"/>
      <c r="D726" s="6"/>
      <c r="E726" s="6"/>
      <c r="F726" s="6"/>
    </row>
    <row r="727" ht="15.75" customHeight="1">
      <c r="C727" s="6"/>
      <c r="D727" s="6"/>
      <c r="E727" s="6"/>
      <c r="F727" s="6"/>
    </row>
    <row r="728" ht="15.75" customHeight="1">
      <c r="C728" s="6"/>
      <c r="D728" s="6"/>
      <c r="E728" s="6"/>
      <c r="F728" s="6"/>
    </row>
    <row r="729" ht="15.75" customHeight="1">
      <c r="C729" s="6"/>
      <c r="D729" s="6"/>
      <c r="E729" s="6"/>
      <c r="F729" s="6"/>
    </row>
    <row r="730" ht="15.75" customHeight="1">
      <c r="C730" s="6"/>
      <c r="D730" s="6"/>
      <c r="E730" s="6"/>
      <c r="F730" s="6"/>
    </row>
    <row r="731" ht="15.75" customHeight="1">
      <c r="C731" s="6"/>
      <c r="D731" s="6"/>
      <c r="E731" s="6"/>
      <c r="F731" s="6"/>
    </row>
    <row r="732" ht="15.75" customHeight="1">
      <c r="C732" s="6"/>
      <c r="D732" s="6"/>
      <c r="E732" s="6"/>
      <c r="F732" s="6"/>
    </row>
    <row r="733" ht="15.75" customHeight="1">
      <c r="C733" s="6"/>
      <c r="D733" s="6"/>
      <c r="E733" s="6"/>
      <c r="F733" s="6"/>
    </row>
    <row r="734" ht="15.75" customHeight="1">
      <c r="C734" s="6"/>
      <c r="D734" s="6"/>
      <c r="E734" s="6"/>
      <c r="F734" s="6"/>
    </row>
    <row r="735" ht="15.75" customHeight="1">
      <c r="C735" s="6"/>
      <c r="D735" s="6"/>
      <c r="E735" s="6"/>
      <c r="F735" s="6"/>
    </row>
    <row r="736" ht="15.75" customHeight="1">
      <c r="C736" s="6"/>
      <c r="D736" s="6"/>
      <c r="E736" s="6"/>
      <c r="F736" s="6"/>
    </row>
    <row r="737" ht="15.75" customHeight="1">
      <c r="C737" s="6"/>
      <c r="D737" s="6"/>
      <c r="E737" s="6"/>
      <c r="F737" s="6"/>
    </row>
    <row r="738" ht="15.75" customHeight="1">
      <c r="C738" s="6"/>
      <c r="D738" s="6"/>
      <c r="E738" s="6"/>
      <c r="F738" s="6"/>
    </row>
    <row r="739" ht="15.75" customHeight="1">
      <c r="C739" s="6"/>
      <c r="D739" s="6"/>
      <c r="E739" s="6"/>
      <c r="F739" s="6"/>
    </row>
    <row r="740" ht="15.75" customHeight="1">
      <c r="C740" s="6"/>
      <c r="D740" s="6"/>
      <c r="E740" s="6"/>
      <c r="F740" s="6"/>
    </row>
    <row r="741" ht="15.75" customHeight="1">
      <c r="C741" s="6"/>
      <c r="D741" s="6"/>
      <c r="E741" s="6"/>
      <c r="F741" s="6"/>
    </row>
    <row r="742" ht="15.75" customHeight="1">
      <c r="C742" s="6"/>
      <c r="D742" s="6"/>
      <c r="E742" s="6"/>
      <c r="F742" s="6"/>
    </row>
    <row r="743" ht="15.75" customHeight="1">
      <c r="C743" s="6"/>
      <c r="D743" s="6"/>
      <c r="E743" s="6"/>
      <c r="F743" s="6"/>
    </row>
    <row r="744" ht="15.75" customHeight="1">
      <c r="C744" s="6"/>
      <c r="D744" s="6"/>
      <c r="E744" s="6"/>
      <c r="F744" s="6"/>
    </row>
    <row r="745" ht="15.75" customHeight="1">
      <c r="C745" s="6"/>
      <c r="D745" s="6"/>
      <c r="E745" s="6"/>
      <c r="F745" s="6"/>
    </row>
    <row r="746" ht="15.75" customHeight="1">
      <c r="C746" s="6"/>
      <c r="D746" s="6"/>
      <c r="E746" s="6"/>
      <c r="F746" s="6"/>
    </row>
    <row r="747" ht="15.75" customHeight="1">
      <c r="C747" s="6"/>
      <c r="D747" s="6"/>
      <c r="E747" s="6"/>
      <c r="F747" s="6"/>
    </row>
    <row r="748" ht="15.75" customHeight="1">
      <c r="C748" s="6"/>
      <c r="D748" s="6"/>
      <c r="E748" s="6"/>
      <c r="F748" s="6"/>
    </row>
    <row r="749" ht="15.75" customHeight="1">
      <c r="C749" s="6"/>
      <c r="D749" s="6"/>
      <c r="E749" s="6"/>
      <c r="F749" s="6"/>
    </row>
    <row r="750" ht="15.75" customHeight="1">
      <c r="C750" s="6"/>
      <c r="D750" s="6"/>
      <c r="E750" s="6"/>
      <c r="F750" s="6"/>
    </row>
    <row r="751" ht="15.75" customHeight="1">
      <c r="C751" s="6"/>
      <c r="D751" s="6"/>
      <c r="E751" s="6"/>
      <c r="F751" s="6"/>
    </row>
    <row r="752" ht="15.75" customHeight="1">
      <c r="C752" s="6"/>
      <c r="D752" s="6"/>
      <c r="E752" s="6"/>
      <c r="F752" s="6"/>
    </row>
    <row r="753" ht="15.75" customHeight="1">
      <c r="C753" s="6"/>
      <c r="D753" s="6"/>
      <c r="E753" s="6"/>
      <c r="F753" s="6"/>
    </row>
    <row r="754" ht="15.75" customHeight="1">
      <c r="C754" s="6"/>
      <c r="D754" s="6"/>
      <c r="E754" s="6"/>
      <c r="F754" s="6"/>
    </row>
    <row r="755" ht="15.75" customHeight="1">
      <c r="C755" s="6"/>
      <c r="D755" s="6"/>
      <c r="E755" s="6"/>
      <c r="F755" s="6"/>
    </row>
    <row r="756" ht="15.75" customHeight="1">
      <c r="C756" s="6"/>
      <c r="D756" s="6"/>
      <c r="E756" s="6"/>
      <c r="F756" s="6"/>
    </row>
    <row r="757" ht="15.75" customHeight="1">
      <c r="C757" s="6"/>
      <c r="D757" s="6"/>
      <c r="E757" s="6"/>
      <c r="F757" s="6"/>
    </row>
    <row r="758" ht="15.75" customHeight="1">
      <c r="C758" s="6"/>
      <c r="D758" s="6"/>
      <c r="E758" s="6"/>
      <c r="F758" s="6"/>
    </row>
    <row r="759" ht="15.75" customHeight="1">
      <c r="C759" s="6"/>
      <c r="D759" s="6"/>
      <c r="E759" s="6"/>
      <c r="F759" s="6"/>
    </row>
    <row r="760" ht="15.75" customHeight="1">
      <c r="C760" s="6"/>
      <c r="D760" s="6"/>
      <c r="E760" s="6"/>
      <c r="F760" s="6"/>
    </row>
    <row r="761" ht="15.75" customHeight="1">
      <c r="C761" s="6"/>
      <c r="D761" s="6"/>
      <c r="E761" s="6"/>
      <c r="F761" s="6"/>
    </row>
    <row r="762" ht="15.75" customHeight="1">
      <c r="C762" s="6"/>
      <c r="D762" s="6"/>
      <c r="E762" s="6"/>
      <c r="F762" s="6"/>
    </row>
    <row r="763" ht="15.75" customHeight="1">
      <c r="C763" s="6"/>
      <c r="D763" s="6"/>
      <c r="E763" s="6"/>
      <c r="F763" s="6"/>
    </row>
    <row r="764" ht="15.75" customHeight="1">
      <c r="C764" s="6"/>
      <c r="D764" s="6"/>
      <c r="E764" s="6"/>
      <c r="F764" s="6"/>
    </row>
    <row r="765" ht="15.75" customHeight="1">
      <c r="C765" s="6"/>
      <c r="D765" s="6"/>
      <c r="E765" s="6"/>
      <c r="F765" s="6"/>
    </row>
    <row r="766" ht="15.75" customHeight="1">
      <c r="C766" s="6"/>
      <c r="D766" s="6"/>
      <c r="E766" s="6"/>
      <c r="F766" s="6"/>
    </row>
    <row r="767" ht="15.75" customHeight="1">
      <c r="C767" s="6"/>
      <c r="D767" s="6"/>
      <c r="E767" s="6"/>
      <c r="F767" s="6"/>
    </row>
    <row r="768" ht="15.75" customHeight="1">
      <c r="C768" s="6"/>
      <c r="D768" s="6"/>
      <c r="E768" s="6"/>
      <c r="F768" s="6"/>
    </row>
    <row r="769" ht="15.75" customHeight="1">
      <c r="C769" s="6"/>
      <c r="D769" s="6"/>
      <c r="E769" s="6"/>
      <c r="F769" s="6"/>
    </row>
    <row r="770" ht="15.75" customHeight="1">
      <c r="C770" s="6"/>
      <c r="D770" s="6"/>
      <c r="E770" s="6"/>
      <c r="F770" s="6"/>
    </row>
    <row r="771" ht="15.75" customHeight="1">
      <c r="C771" s="6"/>
      <c r="D771" s="6"/>
      <c r="E771" s="6"/>
      <c r="F771" s="6"/>
    </row>
    <row r="772" ht="15.75" customHeight="1">
      <c r="C772" s="6"/>
      <c r="D772" s="6"/>
      <c r="E772" s="6"/>
      <c r="F772" s="6"/>
    </row>
    <row r="773" ht="15.75" customHeight="1">
      <c r="C773" s="6"/>
      <c r="D773" s="6"/>
      <c r="E773" s="6"/>
      <c r="F773" s="6"/>
    </row>
    <row r="774" ht="15.75" customHeight="1">
      <c r="C774" s="6"/>
      <c r="D774" s="6"/>
      <c r="E774" s="6"/>
      <c r="F774" s="6"/>
    </row>
    <row r="775" ht="15.75" customHeight="1">
      <c r="C775" s="6"/>
      <c r="D775" s="6"/>
      <c r="E775" s="6"/>
      <c r="F775" s="6"/>
    </row>
    <row r="776" ht="15.75" customHeight="1">
      <c r="C776" s="6"/>
      <c r="D776" s="6"/>
      <c r="E776" s="6"/>
      <c r="F776" s="6"/>
    </row>
    <row r="777" ht="15.75" customHeight="1">
      <c r="C777" s="6"/>
      <c r="D777" s="6"/>
      <c r="E777" s="6"/>
      <c r="F777" s="6"/>
    </row>
    <row r="778" ht="15.75" customHeight="1">
      <c r="C778" s="6"/>
      <c r="D778" s="6"/>
      <c r="E778" s="6"/>
      <c r="F778" s="6"/>
    </row>
    <row r="779" ht="15.75" customHeight="1">
      <c r="C779" s="6"/>
      <c r="D779" s="6"/>
      <c r="E779" s="6"/>
      <c r="F779" s="6"/>
    </row>
    <row r="780" ht="15.75" customHeight="1">
      <c r="C780" s="6"/>
      <c r="D780" s="6"/>
      <c r="E780" s="6"/>
      <c r="F780" s="6"/>
    </row>
    <row r="781" ht="15.75" customHeight="1">
      <c r="C781" s="6"/>
      <c r="D781" s="6"/>
      <c r="E781" s="6"/>
      <c r="F781" s="6"/>
    </row>
    <row r="782" ht="15.75" customHeight="1">
      <c r="C782" s="6"/>
      <c r="D782" s="6"/>
      <c r="E782" s="6"/>
      <c r="F782" s="6"/>
    </row>
    <row r="783" ht="15.75" customHeight="1">
      <c r="C783" s="6"/>
      <c r="D783" s="6"/>
      <c r="E783" s="6"/>
      <c r="F783" s="6"/>
    </row>
    <row r="784" ht="15.75" customHeight="1">
      <c r="C784" s="6"/>
      <c r="D784" s="6"/>
      <c r="E784" s="6"/>
      <c r="F784" s="6"/>
    </row>
    <row r="785" ht="15.75" customHeight="1">
      <c r="C785" s="6"/>
      <c r="D785" s="6"/>
      <c r="E785" s="6"/>
      <c r="F785" s="6"/>
    </row>
    <row r="786" ht="15.75" customHeight="1">
      <c r="C786" s="6"/>
      <c r="D786" s="6"/>
      <c r="E786" s="6"/>
      <c r="F786" s="6"/>
    </row>
    <row r="787" ht="15.75" customHeight="1">
      <c r="C787" s="6"/>
      <c r="D787" s="6"/>
      <c r="E787" s="6"/>
      <c r="F787" s="6"/>
    </row>
    <row r="788" ht="15.75" customHeight="1">
      <c r="C788" s="6"/>
      <c r="D788" s="6"/>
      <c r="E788" s="6"/>
      <c r="F788" s="6"/>
    </row>
    <row r="789" ht="15.75" customHeight="1">
      <c r="C789" s="6"/>
      <c r="D789" s="6"/>
      <c r="E789" s="6"/>
      <c r="F789" s="6"/>
    </row>
    <row r="790" ht="15.75" customHeight="1">
      <c r="C790" s="6"/>
      <c r="D790" s="6"/>
      <c r="E790" s="6"/>
      <c r="F790" s="6"/>
    </row>
    <row r="791" ht="15.75" customHeight="1">
      <c r="C791" s="6"/>
      <c r="D791" s="6"/>
      <c r="E791" s="6"/>
      <c r="F791" s="6"/>
    </row>
    <row r="792" ht="15.75" customHeight="1">
      <c r="C792" s="6"/>
      <c r="D792" s="6"/>
      <c r="E792" s="6"/>
      <c r="F792" s="6"/>
    </row>
    <row r="793" ht="15.75" customHeight="1">
      <c r="C793" s="6"/>
      <c r="D793" s="6"/>
      <c r="E793" s="6"/>
      <c r="F793" s="6"/>
    </row>
    <row r="794" ht="15.75" customHeight="1">
      <c r="C794" s="6"/>
      <c r="D794" s="6"/>
      <c r="E794" s="6"/>
      <c r="F794" s="6"/>
    </row>
    <row r="795" ht="15.75" customHeight="1">
      <c r="C795" s="6"/>
      <c r="D795" s="6"/>
      <c r="E795" s="6"/>
      <c r="F795" s="6"/>
    </row>
    <row r="796" ht="15.75" customHeight="1">
      <c r="C796" s="6"/>
      <c r="D796" s="6"/>
      <c r="E796" s="6"/>
      <c r="F796" s="6"/>
    </row>
    <row r="797" ht="15.75" customHeight="1">
      <c r="C797" s="6"/>
      <c r="D797" s="6"/>
      <c r="E797" s="6"/>
      <c r="F797" s="6"/>
    </row>
    <row r="798" ht="15.75" customHeight="1">
      <c r="C798" s="6"/>
      <c r="D798" s="6"/>
      <c r="E798" s="6"/>
      <c r="F798" s="6"/>
    </row>
    <row r="799" ht="15.75" customHeight="1">
      <c r="C799" s="6"/>
      <c r="D799" s="6"/>
      <c r="E799" s="6"/>
      <c r="F799" s="6"/>
    </row>
    <row r="800" ht="15.75" customHeight="1">
      <c r="C800" s="6"/>
      <c r="D800" s="6"/>
      <c r="E800" s="6"/>
      <c r="F800" s="6"/>
    </row>
    <row r="801" ht="15.75" customHeight="1">
      <c r="C801" s="6"/>
      <c r="D801" s="6"/>
      <c r="E801" s="6"/>
      <c r="F801" s="6"/>
    </row>
    <row r="802" ht="15.75" customHeight="1">
      <c r="C802" s="6"/>
      <c r="D802" s="6"/>
      <c r="E802" s="6"/>
      <c r="F802" s="6"/>
    </row>
    <row r="803" ht="15.75" customHeight="1">
      <c r="C803" s="6"/>
      <c r="D803" s="6"/>
      <c r="E803" s="6"/>
      <c r="F803" s="6"/>
    </row>
    <row r="804" ht="15.75" customHeight="1">
      <c r="C804" s="6"/>
      <c r="D804" s="6"/>
      <c r="E804" s="6"/>
      <c r="F804" s="6"/>
    </row>
    <row r="805" ht="15.75" customHeight="1">
      <c r="C805" s="6"/>
      <c r="D805" s="6"/>
      <c r="E805" s="6"/>
      <c r="F805" s="6"/>
    </row>
    <row r="806" ht="15.75" customHeight="1">
      <c r="C806" s="6"/>
      <c r="D806" s="6"/>
      <c r="E806" s="6"/>
      <c r="F806" s="6"/>
    </row>
    <row r="807" ht="15.75" customHeight="1">
      <c r="C807" s="6"/>
      <c r="D807" s="6"/>
      <c r="E807" s="6"/>
      <c r="F807" s="6"/>
    </row>
    <row r="808" ht="15.75" customHeight="1">
      <c r="C808" s="6"/>
      <c r="D808" s="6"/>
      <c r="E808" s="6"/>
      <c r="F808" s="6"/>
    </row>
    <row r="809" ht="15.75" customHeight="1">
      <c r="C809" s="6"/>
      <c r="D809" s="6"/>
      <c r="E809" s="6"/>
      <c r="F809" s="6"/>
    </row>
    <row r="810" ht="15.75" customHeight="1">
      <c r="C810" s="6"/>
      <c r="D810" s="6"/>
      <c r="E810" s="6"/>
      <c r="F810" s="6"/>
    </row>
    <row r="811" ht="15.75" customHeight="1">
      <c r="C811" s="6"/>
      <c r="D811" s="6"/>
      <c r="E811" s="6"/>
      <c r="F811" s="6"/>
    </row>
    <row r="812" ht="15.75" customHeight="1">
      <c r="C812" s="6"/>
      <c r="D812" s="6"/>
      <c r="E812" s="6"/>
      <c r="F812" s="6"/>
    </row>
    <row r="813" ht="15.75" customHeight="1">
      <c r="C813" s="6"/>
      <c r="D813" s="6"/>
      <c r="E813" s="6"/>
      <c r="F813" s="6"/>
    </row>
    <row r="814" ht="15.75" customHeight="1">
      <c r="C814" s="6"/>
      <c r="D814" s="6"/>
      <c r="E814" s="6"/>
      <c r="F814" s="6"/>
    </row>
    <row r="815" ht="15.75" customHeight="1">
      <c r="C815" s="6"/>
      <c r="D815" s="6"/>
      <c r="E815" s="6"/>
      <c r="F815" s="6"/>
    </row>
    <row r="816" ht="15.75" customHeight="1">
      <c r="C816" s="6"/>
      <c r="D816" s="6"/>
      <c r="E816" s="6"/>
      <c r="F816" s="6"/>
    </row>
    <row r="817" ht="15.75" customHeight="1">
      <c r="C817" s="6"/>
      <c r="D817" s="6"/>
      <c r="E817" s="6"/>
      <c r="F817" s="6"/>
    </row>
    <row r="818" ht="15.75" customHeight="1">
      <c r="C818" s="6"/>
      <c r="D818" s="6"/>
      <c r="E818" s="6"/>
      <c r="F818" s="6"/>
    </row>
    <row r="819" ht="15.75" customHeight="1">
      <c r="C819" s="6"/>
      <c r="D819" s="6"/>
      <c r="E819" s="6"/>
      <c r="F819" s="6"/>
    </row>
    <row r="820" ht="15.75" customHeight="1">
      <c r="C820" s="6"/>
      <c r="D820" s="6"/>
      <c r="E820" s="6"/>
      <c r="F820" s="6"/>
    </row>
    <row r="821" ht="15.75" customHeight="1">
      <c r="C821" s="6"/>
      <c r="D821" s="6"/>
      <c r="E821" s="6"/>
      <c r="F821" s="6"/>
    </row>
    <row r="822" ht="15.75" customHeight="1">
      <c r="C822" s="6"/>
      <c r="D822" s="6"/>
      <c r="E822" s="6"/>
      <c r="F822" s="6"/>
    </row>
    <row r="823" ht="15.75" customHeight="1">
      <c r="C823" s="6"/>
      <c r="D823" s="6"/>
      <c r="E823" s="6"/>
      <c r="F823" s="6"/>
    </row>
    <row r="824" ht="15.75" customHeight="1">
      <c r="C824" s="6"/>
      <c r="D824" s="6"/>
      <c r="E824" s="6"/>
      <c r="F824" s="6"/>
    </row>
    <row r="825" ht="15.75" customHeight="1">
      <c r="C825" s="6"/>
      <c r="D825" s="6"/>
      <c r="E825" s="6"/>
      <c r="F825" s="6"/>
    </row>
    <row r="826" ht="15.75" customHeight="1">
      <c r="C826" s="6"/>
      <c r="D826" s="6"/>
      <c r="E826" s="6"/>
      <c r="F826" s="6"/>
    </row>
    <row r="827" ht="15.75" customHeight="1">
      <c r="C827" s="6"/>
      <c r="D827" s="6"/>
      <c r="E827" s="6"/>
      <c r="F827" s="6"/>
    </row>
    <row r="828" ht="15.75" customHeight="1">
      <c r="C828" s="6"/>
      <c r="D828" s="6"/>
      <c r="E828" s="6"/>
      <c r="F828" s="6"/>
    </row>
    <row r="829" ht="15.75" customHeight="1">
      <c r="C829" s="6"/>
      <c r="D829" s="6"/>
      <c r="E829" s="6"/>
      <c r="F829" s="6"/>
    </row>
    <row r="830" ht="15.75" customHeight="1">
      <c r="C830" s="6"/>
      <c r="D830" s="6"/>
      <c r="E830" s="6"/>
      <c r="F830" s="6"/>
    </row>
    <row r="831" ht="15.75" customHeight="1">
      <c r="C831" s="6"/>
      <c r="D831" s="6"/>
      <c r="E831" s="6"/>
      <c r="F831" s="6"/>
    </row>
    <row r="832" ht="15.75" customHeight="1">
      <c r="C832" s="6"/>
      <c r="D832" s="6"/>
      <c r="E832" s="6"/>
      <c r="F832" s="6"/>
    </row>
    <row r="833" ht="15.75" customHeight="1">
      <c r="C833" s="6"/>
      <c r="D833" s="6"/>
      <c r="E833" s="6"/>
      <c r="F833" s="6"/>
    </row>
    <row r="834" ht="15.75" customHeight="1">
      <c r="C834" s="6"/>
      <c r="D834" s="6"/>
      <c r="E834" s="6"/>
      <c r="F834" s="6"/>
    </row>
    <row r="835" ht="15.75" customHeight="1">
      <c r="C835" s="6"/>
      <c r="D835" s="6"/>
      <c r="E835" s="6"/>
      <c r="F835" s="6"/>
    </row>
    <row r="836" ht="15.75" customHeight="1">
      <c r="C836" s="6"/>
      <c r="D836" s="6"/>
      <c r="E836" s="6"/>
      <c r="F836" s="6"/>
    </row>
    <row r="837" ht="15.75" customHeight="1">
      <c r="C837" s="6"/>
      <c r="D837" s="6"/>
      <c r="E837" s="6"/>
      <c r="F837" s="6"/>
    </row>
    <row r="838" ht="15.75" customHeight="1">
      <c r="C838" s="6"/>
      <c r="D838" s="6"/>
      <c r="E838" s="6"/>
      <c r="F838" s="6"/>
    </row>
    <row r="839" ht="15.75" customHeight="1">
      <c r="C839" s="6"/>
      <c r="D839" s="6"/>
      <c r="E839" s="6"/>
      <c r="F839" s="6"/>
    </row>
    <row r="840" ht="15.75" customHeight="1">
      <c r="C840" s="6"/>
      <c r="D840" s="6"/>
      <c r="E840" s="6"/>
      <c r="F840" s="6"/>
    </row>
    <row r="841" ht="15.75" customHeight="1">
      <c r="C841" s="6"/>
      <c r="D841" s="6"/>
      <c r="E841" s="6"/>
      <c r="F841" s="6"/>
    </row>
    <row r="842" ht="15.75" customHeight="1">
      <c r="C842" s="6"/>
      <c r="D842" s="6"/>
      <c r="E842" s="6"/>
      <c r="F842" s="6"/>
    </row>
    <row r="843" ht="15.75" customHeight="1">
      <c r="C843" s="6"/>
      <c r="D843" s="6"/>
      <c r="E843" s="6"/>
      <c r="F843" s="6"/>
    </row>
    <row r="844" ht="15.75" customHeight="1">
      <c r="C844" s="6"/>
      <c r="D844" s="6"/>
      <c r="E844" s="6"/>
      <c r="F844" s="6"/>
    </row>
    <row r="845" ht="15.75" customHeight="1">
      <c r="C845" s="6"/>
      <c r="D845" s="6"/>
      <c r="E845" s="6"/>
      <c r="F845" s="6"/>
    </row>
    <row r="846" ht="15.75" customHeight="1">
      <c r="C846" s="6"/>
      <c r="D846" s="6"/>
      <c r="E846" s="6"/>
      <c r="F846" s="6"/>
    </row>
    <row r="847" ht="15.75" customHeight="1">
      <c r="C847" s="6"/>
      <c r="D847" s="6"/>
      <c r="E847" s="6"/>
      <c r="F847" s="6"/>
    </row>
    <row r="848" ht="15.75" customHeight="1">
      <c r="C848" s="6"/>
      <c r="D848" s="6"/>
      <c r="E848" s="6"/>
      <c r="F848" s="6"/>
    </row>
    <row r="849" ht="15.75" customHeight="1">
      <c r="C849" s="6"/>
      <c r="D849" s="6"/>
      <c r="E849" s="6"/>
      <c r="F849" s="6"/>
    </row>
    <row r="850" ht="15.75" customHeight="1">
      <c r="C850" s="6"/>
      <c r="D850" s="6"/>
      <c r="E850" s="6"/>
      <c r="F850" s="6"/>
    </row>
    <row r="851" ht="15.75" customHeight="1">
      <c r="C851" s="6"/>
      <c r="D851" s="6"/>
      <c r="E851" s="6"/>
      <c r="F851" s="6"/>
    </row>
    <row r="852" ht="15.75" customHeight="1">
      <c r="C852" s="6"/>
      <c r="D852" s="6"/>
      <c r="E852" s="6"/>
      <c r="F852" s="6"/>
    </row>
    <row r="853" ht="15.75" customHeight="1">
      <c r="C853" s="6"/>
      <c r="D853" s="6"/>
      <c r="E853" s="6"/>
      <c r="F853" s="6"/>
    </row>
    <row r="854" ht="15.75" customHeight="1">
      <c r="C854" s="6"/>
      <c r="D854" s="6"/>
      <c r="E854" s="6"/>
      <c r="F854" s="6"/>
    </row>
    <row r="855" ht="15.75" customHeight="1">
      <c r="C855" s="6"/>
      <c r="D855" s="6"/>
      <c r="E855" s="6"/>
      <c r="F855" s="6"/>
    </row>
    <row r="856" ht="15.75" customHeight="1">
      <c r="C856" s="6"/>
      <c r="D856" s="6"/>
      <c r="E856" s="6"/>
      <c r="F856" s="6"/>
    </row>
    <row r="857" ht="15.75" customHeight="1">
      <c r="C857" s="6"/>
      <c r="D857" s="6"/>
      <c r="E857" s="6"/>
      <c r="F857" s="6"/>
    </row>
    <row r="858" ht="15.75" customHeight="1">
      <c r="C858" s="6"/>
      <c r="D858" s="6"/>
      <c r="E858" s="6"/>
      <c r="F858" s="6"/>
    </row>
    <row r="859" ht="15.75" customHeight="1">
      <c r="C859" s="6"/>
      <c r="D859" s="6"/>
      <c r="E859" s="6"/>
      <c r="F859" s="6"/>
    </row>
    <row r="860" ht="15.75" customHeight="1">
      <c r="C860" s="6"/>
      <c r="D860" s="6"/>
      <c r="E860" s="6"/>
      <c r="F860" s="6"/>
    </row>
    <row r="861" ht="15.75" customHeight="1">
      <c r="C861" s="6"/>
      <c r="D861" s="6"/>
      <c r="E861" s="6"/>
      <c r="F861" s="6"/>
    </row>
    <row r="862" ht="15.75" customHeight="1">
      <c r="C862" s="6"/>
      <c r="D862" s="6"/>
      <c r="E862" s="6"/>
      <c r="F862" s="6"/>
    </row>
    <row r="863" ht="15.75" customHeight="1">
      <c r="C863" s="6"/>
      <c r="D863" s="6"/>
      <c r="E863" s="6"/>
      <c r="F863" s="6"/>
    </row>
    <row r="864" ht="15.75" customHeight="1">
      <c r="C864" s="6"/>
      <c r="D864" s="6"/>
      <c r="E864" s="6"/>
      <c r="F864" s="6"/>
    </row>
    <row r="865" ht="15.75" customHeight="1">
      <c r="C865" s="6"/>
      <c r="D865" s="6"/>
      <c r="E865" s="6"/>
      <c r="F865" s="6"/>
    </row>
    <row r="866" ht="15.75" customHeight="1">
      <c r="C866" s="6"/>
      <c r="D866" s="6"/>
      <c r="E866" s="6"/>
      <c r="F866" s="6"/>
    </row>
    <row r="867" ht="15.75" customHeight="1">
      <c r="C867" s="6"/>
      <c r="D867" s="6"/>
      <c r="E867" s="6"/>
      <c r="F867" s="6"/>
    </row>
    <row r="868" ht="15.75" customHeight="1">
      <c r="C868" s="6"/>
      <c r="D868" s="6"/>
      <c r="E868" s="6"/>
      <c r="F868" s="6"/>
    </row>
    <row r="869" ht="15.75" customHeight="1">
      <c r="C869" s="6"/>
      <c r="D869" s="6"/>
      <c r="E869" s="6"/>
      <c r="F869" s="6"/>
    </row>
    <row r="870" ht="15.75" customHeight="1">
      <c r="C870" s="6"/>
      <c r="D870" s="6"/>
      <c r="E870" s="6"/>
      <c r="F870" s="6"/>
    </row>
    <row r="871" ht="15.75" customHeight="1">
      <c r="C871" s="6"/>
      <c r="D871" s="6"/>
      <c r="E871" s="6"/>
      <c r="F871" s="6"/>
    </row>
    <row r="872" ht="15.75" customHeight="1">
      <c r="C872" s="6"/>
      <c r="D872" s="6"/>
      <c r="E872" s="6"/>
      <c r="F872" s="6"/>
    </row>
    <row r="873" ht="15.75" customHeight="1">
      <c r="C873" s="6"/>
      <c r="D873" s="6"/>
      <c r="E873" s="6"/>
      <c r="F873" s="6"/>
    </row>
    <row r="874" ht="15.75" customHeight="1">
      <c r="C874" s="6"/>
      <c r="D874" s="6"/>
      <c r="E874" s="6"/>
      <c r="F874" s="6"/>
    </row>
    <row r="875" ht="15.75" customHeight="1">
      <c r="C875" s="6"/>
      <c r="D875" s="6"/>
      <c r="E875" s="6"/>
      <c r="F875" s="6"/>
    </row>
    <row r="876" ht="15.75" customHeight="1">
      <c r="C876" s="6"/>
      <c r="D876" s="6"/>
      <c r="E876" s="6"/>
      <c r="F876" s="6"/>
    </row>
    <row r="877" ht="15.75" customHeight="1">
      <c r="C877" s="6"/>
      <c r="D877" s="6"/>
      <c r="E877" s="6"/>
      <c r="F877" s="6"/>
    </row>
    <row r="878" ht="15.75" customHeight="1">
      <c r="C878" s="6"/>
      <c r="D878" s="6"/>
      <c r="E878" s="6"/>
      <c r="F878" s="6"/>
    </row>
    <row r="879" ht="15.75" customHeight="1">
      <c r="C879" s="6"/>
      <c r="D879" s="6"/>
      <c r="E879" s="6"/>
      <c r="F879" s="6"/>
    </row>
    <row r="880" ht="15.75" customHeight="1">
      <c r="C880" s="6"/>
      <c r="D880" s="6"/>
      <c r="E880" s="6"/>
      <c r="F880" s="6"/>
    </row>
    <row r="881" ht="15.75" customHeight="1">
      <c r="C881" s="6"/>
      <c r="D881" s="6"/>
      <c r="E881" s="6"/>
      <c r="F881" s="6"/>
    </row>
    <row r="882" ht="15.75" customHeight="1">
      <c r="C882" s="6"/>
      <c r="D882" s="6"/>
      <c r="E882" s="6"/>
      <c r="F882" s="6"/>
    </row>
    <row r="883" ht="15.75" customHeight="1">
      <c r="C883" s="6"/>
      <c r="D883" s="6"/>
      <c r="E883" s="6"/>
      <c r="F883" s="6"/>
    </row>
    <row r="884" ht="15.75" customHeight="1">
      <c r="C884" s="6"/>
      <c r="D884" s="6"/>
      <c r="E884" s="6"/>
      <c r="F884" s="6"/>
    </row>
    <row r="885" ht="15.75" customHeight="1">
      <c r="C885" s="6"/>
      <c r="D885" s="6"/>
      <c r="E885" s="6"/>
      <c r="F885" s="6"/>
    </row>
    <row r="886" ht="15.75" customHeight="1">
      <c r="C886" s="6"/>
      <c r="D886" s="6"/>
      <c r="E886" s="6"/>
      <c r="F886" s="6"/>
    </row>
    <row r="887" ht="15.75" customHeight="1">
      <c r="C887" s="6"/>
      <c r="D887" s="6"/>
      <c r="E887" s="6"/>
      <c r="F887" s="6"/>
    </row>
    <row r="888" ht="15.75" customHeight="1">
      <c r="C888" s="6"/>
      <c r="D888" s="6"/>
      <c r="E888" s="6"/>
      <c r="F888" s="6"/>
    </row>
    <row r="889" ht="15.75" customHeight="1">
      <c r="C889" s="6"/>
      <c r="D889" s="6"/>
      <c r="E889" s="6"/>
      <c r="F889" s="6"/>
    </row>
    <row r="890" ht="15.75" customHeight="1">
      <c r="C890" s="6"/>
      <c r="D890" s="6"/>
      <c r="E890" s="6"/>
      <c r="F890" s="6"/>
    </row>
    <row r="891" ht="15.75" customHeight="1">
      <c r="C891" s="6"/>
      <c r="D891" s="6"/>
      <c r="E891" s="6"/>
      <c r="F891" s="6"/>
    </row>
    <row r="892" ht="15.75" customHeight="1">
      <c r="C892" s="6"/>
      <c r="D892" s="6"/>
      <c r="E892" s="6"/>
      <c r="F892" s="6"/>
    </row>
    <row r="893" ht="15.75" customHeight="1">
      <c r="C893" s="6"/>
      <c r="D893" s="6"/>
      <c r="E893" s="6"/>
      <c r="F893" s="6"/>
    </row>
    <row r="894" ht="15.75" customHeight="1">
      <c r="C894" s="6"/>
      <c r="D894" s="6"/>
      <c r="E894" s="6"/>
      <c r="F894" s="6"/>
    </row>
    <row r="895" ht="15.75" customHeight="1">
      <c r="C895" s="6"/>
      <c r="D895" s="6"/>
      <c r="E895" s="6"/>
      <c r="F895" s="6"/>
    </row>
    <row r="896" ht="15.75" customHeight="1">
      <c r="C896" s="6"/>
      <c r="D896" s="6"/>
      <c r="E896" s="6"/>
      <c r="F896" s="6"/>
    </row>
    <row r="897" ht="15.75" customHeight="1">
      <c r="C897" s="6"/>
      <c r="D897" s="6"/>
      <c r="E897" s="6"/>
      <c r="F897" s="6"/>
    </row>
    <row r="898" ht="15.75" customHeight="1">
      <c r="C898" s="6"/>
      <c r="D898" s="6"/>
      <c r="E898" s="6"/>
      <c r="F898" s="6"/>
    </row>
    <row r="899" ht="15.75" customHeight="1">
      <c r="C899" s="6"/>
      <c r="D899" s="6"/>
      <c r="E899" s="6"/>
      <c r="F899" s="6"/>
    </row>
    <row r="900" ht="15.75" customHeight="1">
      <c r="C900" s="6"/>
      <c r="D900" s="6"/>
      <c r="E900" s="6"/>
      <c r="F900" s="6"/>
    </row>
    <row r="901" ht="15.75" customHeight="1">
      <c r="C901" s="6"/>
      <c r="D901" s="6"/>
      <c r="E901" s="6"/>
      <c r="F901" s="6"/>
    </row>
    <row r="902" ht="15.75" customHeight="1">
      <c r="C902" s="6"/>
      <c r="D902" s="6"/>
      <c r="E902" s="6"/>
      <c r="F902" s="6"/>
    </row>
    <row r="903" ht="15.75" customHeight="1">
      <c r="C903" s="6"/>
      <c r="D903" s="6"/>
      <c r="E903" s="6"/>
      <c r="F903" s="6"/>
    </row>
    <row r="904" ht="15.75" customHeight="1">
      <c r="C904" s="6"/>
      <c r="D904" s="6"/>
      <c r="E904" s="6"/>
      <c r="F904" s="6"/>
    </row>
    <row r="905" ht="15.75" customHeight="1">
      <c r="C905" s="6"/>
      <c r="D905" s="6"/>
      <c r="E905" s="6"/>
      <c r="F905" s="6"/>
    </row>
    <row r="906" ht="15.75" customHeight="1">
      <c r="C906" s="6"/>
      <c r="D906" s="6"/>
      <c r="E906" s="6"/>
      <c r="F906" s="6"/>
    </row>
    <row r="907" ht="15.75" customHeight="1">
      <c r="C907" s="6"/>
      <c r="D907" s="6"/>
      <c r="E907" s="6"/>
      <c r="F907" s="6"/>
    </row>
    <row r="908" ht="15.75" customHeight="1">
      <c r="C908" s="6"/>
      <c r="D908" s="6"/>
      <c r="E908" s="6"/>
      <c r="F908" s="6"/>
    </row>
    <row r="909" ht="15.75" customHeight="1">
      <c r="C909" s="6"/>
      <c r="D909" s="6"/>
      <c r="E909" s="6"/>
      <c r="F909" s="6"/>
    </row>
    <row r="910" ht="15.75" customHeight="1">
      <c r="C910" s="6"/>
      <c r="D910" s="6"/>
      <c r="E910" s="6"/>
      <c r="F910" s="6"/>
    </row>
    <row r="911" ht="15.75" customHeight="1">
      <c r="C911" s="6"/>
      <c r="D911" s="6"/>
      <c r="E911" s="6"/>
      <c r="F911" s="6"/>
    </row>
    <row r="912" ht="15.75" customHeight="1">
      <c r="C912" s="6"/>
      <c r="D912" s="6"/>
      <c r="E912" s="6"/>
      <c r="F912" s="6"/>
    </row>
    <row r="913" ht="15.75" customHeight="1">
      <c r="C913" s="6"/>
      <c r="D913" s="6"/>
      <c r="E913" s="6"/>
      <c r="F913" s="6"/>
    </row>
    <row r="914" ht="15.75" customHeight="1">
      <c r="C914" s="6"/>
      <c r="D914" s="6"/>
      <c r="E914" s="6"/>
      <c r="F914" s="6"/>
    </row>
    <row r="915" ht="15.75" customHeight="1">
      <c r="C915" s="6"/>
      <c r="D915" s="6"/>
      <c r="E915" s="6"/>
      <c r="F915" s="6"/>
    </row>
    <row r="916" ht="15.75" customHeight="1">
      <c r="C916" s="6"/>
      <c r="D916" s="6"/>
      <c r="E916" s="6"/>
      <c r="F916" s="6"/>
    </row>
    <row r="917" ht="15.75" customHeight="1">
      <c r="C917" s="6"/>
      <c r="D917" s="6"/>
      <c r="E917" s="6"/>
      <c r="F917" s="6"/>
    </row>
    <row r="918" ht="15.75" customHeight="1">
      <c r="C918" s="6"/>
      <c r="D918" s="6"/>
      <c r="E918" s="6"/>
      <c r="F918" s="6"/>
    </row>
    <row r="919" ht="15.75" customHeight="1">
      <c r="C919" s="6"/>
      <c r="D919" s="6"/>
      <c r="E919" s="6"/>
      <c r="F919" s="6"/>
    </row>
    <row r="920" ht="15.75" customHeight="1">
      <c r="C920" s="6"/>
      <c r="D920" s="6"/>
      <c r="E920" s="6"/>
      <c r="F920" s="6"/>
    </row>
    <row r="921" ht="15.75" customHeight="1">
      <c r="C921" s="6"/>
      <c r="D921" s="6"/>
      <c r="E921" s="6"/>
      <c r="F921" s="6"/>
    </row>
    <row r="922" ht="15.75" customHeight="1">
      <c r="C922" s="6"/>
      <c r="D922" s="6"/>
      <c r="E922" s="6"/>
      <c r="F922" s="6"/>
    </row>
    <row r="923" ht="15.75" customHeight="1">
      <c r="C923" s="6"/>
      <c r="D923" s="6"/>
      <c r="E923" s="6"/>
      <c r="F923" s="6"/>
    </row>
    <row r="924" ht="15.75" customHeight="1">
      <c r="C924" s="6"/>
      <c r="D924" s="6"/>
      <c r="E924" s="6"/>
      <c r="F924" s="6"/>
    </row>
    <row r="925" ht="15.75" customHeight="1">
      <c r="C925" s="6"/>
      <c r="D925" s="6"/>
      <c r="E925" s="6"/>
      <c r="F925" s="6"/>
    </row>
    <row r="926" ht="15.75" customHeight="1">
      <c r="C926" s="6"/>
      <c r="D926" s="6"/>
      <c r="E926" s="6"/>
      <c r="F926" s="6"/>
    </row>
    <row r="927" ht="15.75" customHeight="1">
      <c r="C927" s="6"/>
      <c r="D927" s="6"/>
      <c r="E927" s="6"/>
      <c r="F927" s="6"/>
    </row>
    <row r="928" ht="15.75" customHeight="1">
      <c r="C928" s="6"/>
      <c r="D928" s="6"/>
      <c r="E928" s="6"/>
      <c r="F928" s="6"/>
    </row>
    <row r="929" ht="15.75" customHeight="1">
      <c r="C929" s="6"/>
      <c r="D929" s="6"/>
      <c r="E929" s="6"/>
      <c r="F929" s="6"/>
    </row>
    <row r="930" ht="15.75" customHeight="1">
      <c r="C930" s="6"/>
      <c r="D930" s="6"/>
      <c r="E930" s="6"/>
      <c r="F930" s="6"/>
    </row>
    <row r="931" ht="15.75" customHeight="1">
      <c r="C931" s="6"/>
      <c r="D931" s="6"/>
      <c r="E931" s="6"/>
      <c r="F931" s="6"/>
    </row>
    <row r="932" ht="15.75" customHeight="1">
      <c r="C932" s="6"/>
      <c r="D932" s="6"/>
      <c r="E932" s="6"/>
      <c r="F932" s="6"/>
    </row>
    <row r="933" ht="15.75" customHeight="1">
      <c r="C933" s="6"/>
      <c r="D933" s="6"/>
      <c r="E933" s="6"/>
      <c r="F933" s="6"/>
    </row>
    <row r="934" ht="15.75" customHeight="1">
      <c r="C934" s="6"/>
      <c r="D934" s="6"/>
      <c r="E934" s="6"/>
      <c r="F934" s="6"/>
    </row>
    <row r="935" ht="15.75" customHeight="1">
      <c r="C935" s="6"/>
      <c r="D935" s="6"/>
      <c r="E935" s="6"/>
      <c r="F935" s="6"/>
    </row>
    <row r="936" ht="15.75" customHeight="1">
      <c r="C936" s="6"/>
      <c r="D936" s="6"/>
      <c r="E936" s="6"/>
      <c r="F936" s="6"/>
    </row>
    <row r="937" ht="15.75" customHeight="1">
      <c r="C937" s="6"/>
      <c r="D937" s="6"/>
      <c r="E937" s="6"/>
      <c r="F937" s="6"/>
    </row>
    <row r="938" ht="15.75" customHeight="1">
      <c r="C938" s="6"/>
      <c r="D938" s="6"/>
      <c r="E938" s="6"/>
      <c r="F938" s="6"/>
    </row>
    <row r="939" ht="15.75" customHeight="1">
      <c r="C939" s="6"/>
      <c r="D939" s="6"/>
      <c r="E939" s="6"/>
      <c r="F939" s="6"/>
    </row>
    <row r="940" ht="15.75" customHeight="1">
      <c r="C940" s="6"/>
      <c r="D940" s="6"/>
      <c r="E940" s="6"/>
      <c r="F940" s="6"/>
    </row>
    <row r="941" ht="15.75" customHeight="1">
      <c r="C941" s="6"/>
      <c r="D941" s="6"/>
      <c r="E941" s="6"/>
      <c r="F941" s="6"/>
    </row>
    <row r="942" ht="15.75" customHeight="1">
      <c r="C942" s="6"/>
      <c r="D942" s="6"/>
      <c r="E942" s="6"/>
      <c r="F942" s="6"/>
    </row>
    <row r="943" ht="15.75" customHeight="1">
      <c r="C943" s="6"/>
      <c r="D943" s="6"/>
      <c r="E943" s="6"/>
      <c r="F943" s="6"/>
    </row>
    <row r="944" ht="15.75" customHeight="1">
      <c r="C944" s="6"/>
      <c r="D944" s="6"/>
      <c r="E944" s="6"/>
      <c r="F944" s="6"/>
    </row>
    <row r="945" ht="15.75" customHeight="1">
      <c r="C945" s="6"/>
      <c r="D945" s="6"/>
      <c r="E945" s="6"/>
      <c r="F945" s="6"/>
    </row>
    <row r="946" ht="15.75" customHeight="1">
      <c r="C946" s="6"/>
      <c r="D946" s="6"/>
      <c r="E946" s="6"/>
      <c r="F946" s="6"/>
    </row>
    <row r="947" ht="15.75" customHeight="1">
      <c r="C947" s="6"/>
      <c r="D947" s="6"/>
      <c r="E947" s="6"/>
      <c r="F947" s="6"/>
    </row>
    <row r="948" ht="15.75" customHeight="1">
      <c r="C948" s="6"/>
      <c r="D948" s="6"/>
      <c r="E948" s="6"/>
      <c r="F948" s="6"/>
    </row>
    <row r="949" ht="15.75" customHeight="1">
      <c r="C949" s="6"/>
      <c r="D949" s="6"/>
      <c r="E949" s="6"/>
      <c r="F949" s="6"/>
    </row>
    <row r="950" ht="15.75" customHeight="1">
      <c r="C950" s="6"/>
      <c r="D950" s="6"/>
      <c r="E950" s="6"/>
      <c r="F950" s="6"/>
    </row>
    <row r="951" ht="15.75" customHeight="1">
      <c r="C951" s="6"/>
      <c r="D951" s="6"/>
      <c r="E951" s="6"/>
      <c r="F951" s="6"/>
    </row>
    <row r="952" ht="15.75" customHeight="1">
      <c r="C952" s="6"/>
      <c r="D952" s="6"/>
      <c r="E952" s="6"/>
      <c r="F952" s="6"/>
    </row>
    <row r="953" ht="15.75" customHeight="1">
      <c r="C953" s="6"/>
      <c r="D953" s="6"/>
      <c r="E953" s="6"/>
      <c r="F953" s="6"/>
    </row>
    <row r="954" ht="15.75" customHeight="1">
      <c r="C954" s="6"/>
      <c r="D954" s="6"/>
      <c r="E954" s="6"/>
      <c r="F954" s="6"/>
    </row>
    <row r="955" ht="15.75" customHeight="1">
      <c r="C955" s="6"/>
      <c r="D955" s="6"/>
      <c r="E955" s="6"/>
      <c r="F955" s="6"/>
    </row>
    <row r="956" ht="15.75" customHeight="1">
      <c r="C956" s="6"/>
      <c r="D956" s="6"/>
      <c r="E956" s="6"/>
      <c r="F956" s="6"/>
    </row>
    <row r="957" ht="15.75" customHeight="1">
      <c r="C957" s="6"/>
      <c r="D957" s="6"/>
      <c r="E957" s="6"/>
      <c r="F957" s="6"/>
    </row>
    <row r="958" ht="15.75" customHeight="1">
      <c r="C958" s="6"/>
      <c r="D958" s="6"/>
      <c r="E958" s="6"/>
      <c r="F958" s="6"/>
    </row>
    <row r="959" ht="15.75" customHeight="1">
      <c r="C959" s="6"/>
      <c r="D959" s="6"/>
      <c r="E959" s="6"/>
      <c r="F959" s="6"/>
    </row>
    <row r="960" ht="15.75" customHeight="1">
      <c r="C960" s="6"/>
      <c r="D960" s="6"/>
      <c r="E960" s="6"/>
      <c r="F960" s="6"/>
    </row>
    <row r="961" ht="15.75" customHeight="1">
      <c r="C961" s="6"/>
      <c r="D961" s="6"/>
      <c r="E961" s="6"/>
      <c r="F961" s="6"/>
    </row>
    <row r="962" ht="15.75" customHeight="1">
      <c r="C962" s="6"/>
      <c r="D962" s="6"/>
      <c r="E962" s="6"/>
      <c r="F962" s="6"/>
    </row>
    <row r="963" ht="15.75" customHeight="1">
      <c r="C963" s="6"/>
      <c r="D963" s="6"/>
      <c r="E963" s="6"/>
      <c r="F963" s="6"/>
    </row>
    <row r="964" ht="15.75" customHeight="1">
      <c r="C964" s="6"/>
      <c r="D964" s="6"/>
      <c r="E964" s="6"/>
      <c r="F964" s="6"/>
    </row>
    <row r="965" ht="15.75" customHeight="1">
      <c r="C965" s="6"/>
      <c r="D965" s="6"/>
      <c r="E965" s="6"/>
      <c r="F965" s="6"/>
    </row>
    <row r="966" ht="15.75" customHeight="1">
      <c r="C966" s="6"/>
      <c r="D966" s="6"/>
      <c r="E966" s="6"/>
      <c r="F966" s="6"/>
    </row>
    <row r="967" ht="15.75" customHeight="1">
      <c r="C967" s="6"/>
      <c r="D967" s="6"/>
      <c r="E967" s="6"/>
      <c r="F967" s="6"/>
    </row>
    <row r="968" ht="15.75" customHeight="1">
      <c r="C968" s="6"/>
      <c r="D968" s="6"/>
      <c r="E968" s="6"/>
      <c r="F968" s="6"/>
    </row>
    <row r="969" ht="15.75" customHeight="1">
      <c r="C969" s="6"/>
      <c r="D969" s="6"/>
      <c r="E969" s="6"/>
      <c r="F969" s="6"/>
    </row>
    <row r="970" ht="15.75" customHeight="1">
      <c r="C970" s="6"/>
      <c r="D970" s="6"/>
      <c r="E970" s="6"/>
      <c r="F970" s="6"/>
    </row>
    <row r="971" ht="15.75" customHeight="1">
      <c r="C971" s="6"/>
      <c r="D971" s="6"/>
      <c r="E971" s="6"/>
      <c r="F971" s="6"/>
    </row>
    <row r="972" ht="15.75" customHeight="1">
      <c r="C972" s="6"/>
      <c r="D972" s="6"/>
      <c r="E972" s="6"/>
      <c r="F972" s="6"/>
    </row>
    <row r="973" ht="15.75" customHeight="1">
      <c r="C973" s="6"/>
      <c r="D973" s="6"/>
      <c r="E973" s="6"/>
      <c r="F973" s="6"/>
    </row>
    <row r="974" ht="15.75" customHeight="1">
      <c r="C974" s="6"/>
      <c r="D974" s="6"/>
      <c r="E974" s="6"/>
      <c r="F974" s="6"/>
    </row>
    <row r="975" ht="15.75" customHeight="1">
      <c r="C975" s="6"/>
      <c r="D975" s="6"/>
      <c r="E975" s="6"/>
      <c r="F975" s="6"/>
    </row>
    <row r="976" ht="15.75" customHeight="1">
      <c r="C976" s="6"/>
      <c r="D976" s="6"/>
      <c r="E976" s="6"/>
      <c r="F976" s="6"/>
    </row>
    <row r="977" ht="15.75" customHeight="1">
      <c r="C977" s="6"/>
      <c r="D977" s="6"/>
      <c r="E977" s="6"/>
      <c r="F977" s="6"/>
    </row>
    <row r="978" ht="15.75" customHeight="1">
      <c r="C978" s="6"/>
      <c r="D978" s="6"/>
      <c r="E978" s="6"/>
      <c r="F978" s="6"/>
    </row>
    <row r="979" ht="15.75" customHeight="1">
      <c r="C979" s="6"/>
      <c r="D979" s="6"/>
      <c r="E979" s="6"/>
      <c r="F979" s="6"/>
    </row>
    <row r="980" ht="15.75" customHeight="1">
      <c r="C980" s="6"/>
      <c r="D980" s="6"/>
      <c r="E980" s="6"/>
      <c r="F980" s="6"/>
    </row>
    <row r="981" ht="15.75" customHeight="1">
      <c r="C981" s="6"/>
      <c r="D981" s="6"/>
      <c r="E981" s="6"/>
      <c r="F981" s="6"/>
    </row>
    <row r="982" ht="15.75" customHeight="1">
      <c r="C982" s="6"/>
      <c r="D982" s="6"/>
      <c r="E982" s="6"/>
      <c r="F982" s="6"/>
    </row>
    <row r="983" ht="15.75" customHeight="1">
      <c r="C983" s="6"/>
      <c r="D983" s="6"/>
      <c r="E983" s="6"/>
      <c r="F983" s="6"/>
    </row>
    <row r="984" ht="15.75" customHeight="1">
      <c r="C984" s="6"/>
      <c r="D984" s="6"/>
      <c r="E984" s="6"/>
      <c r="F984" s="6"/>
    </row>
    <row r="985" ht="15.75" customHeight="1">
      <c r="C985" s="6"/>
      <c r="D985" s="6"/>
      <c r="E985" s="6"/>
      <c r="F985" s="6"/>
    </row>
    <row r="986" ht="15.75" customHeight="1">
      <c r="C986" s="6"/>
      <c r="D986" s="6"/>
      <c r="E986" s="6"/>
      <c r="F986" s="6"/>
    </row>
    <row r="987" ht="15.75" customHeight="1">
      <c r="C987" s="6"/>
      <c r="D987" s="6"/>
      <c r="E987" s="6"/>
      <c r="F987" s="6"/>
    </row>
    <row r="988" ht="15.75" customHeight="1">
      <c r="C988" s="6"/>
      <c r="D988" s="6"/>
      <c r="E988" s="6"/>
      <c r="F988" s="6"/>
    </row>
    <row r="989" ht="15.75" customHeight="1">
      <c r="C989" s="6"/>
      <c r="D989" s="6"/>
      <c r="E989" s="6"/>
      <c r="F989" s="6"/>
    </row>
    <row r="990" ht="15.75" customHeight="1">
      <c r="C990" s="6"/>
      <c r="D990" s="6"/>
      <c r="E990" s="6"/>
      <c r="F990" s="6"/>
    </row>
    <row r="991" ht="15.75" customHeight="1">
      <c r="C991" s="6"/>
      <c r="D991" s="6"/>
      <c r="E991" s="6"/>
      <c r="F991" s="6"/>
    </row>
    <row r="992" ht="15.75" customHeight="1">
      <c r="C992" s="6"/>
      <c r="D992" s="6"/>
      <c r="E992" s="6"/>
      <c r="F992" s="6"/>
    </row>
    <row r="993" ht="15.75" customHeight="1">
      <c r="C993" s="6"/>
      <c r="D993" s="6"/>
      <c r="E993" s="6"/>
      <c r="F993" s="6"/>
    </row>
    <row r="994" ht="15.75" customHeight="1">
      <c r="C994" s="6"/>
      <c r="D994" s="6"/>
      <c r="E994" s="6"/>
      <c r="F994" s="6"/>
    </row>
    <row r="995" ht="15.75" customHeight="1">
      <c r="C995" s="6"/>
      <c r="D995" s="6"/>
      <c r="E995" s="6"/>
      <c r="F995" s="6"/>
    </row>
    <row r="996" ht="15.75" customHeight="1">
      <c r="C996" s="6"/>
      <c r="D996" s="6"/>
      <c r="E996" s="6"/>
      <c r="F996" s="6"/>
    </row>
    <row r="997" ht="15.75" customHeight="1">
      <c r="C997" s="6"/>
      <c r="D997" s="6"/>
      <c r="E997" s="6"/>
      <c r="F997" s="6"/>
    </row>
    <row r="998" ht="15.75" customHeight="1">
      <c r="C998" s="6"/>
      <c r="D998" s="6"/>
      <c r="E998" s="6"/>
      <c r="F998" s="6"/>
    </row>
    <row r="999" ht="15.75" customHeight="1">
      <c r="C999" s="6"/>
      <c r="D999" s="6"/>
      <c r="E999" s="6"/>
      <c r="F999" s="6"/>
    </row>
    <row r="1000" ht="15.75" customHeight="1">
      <c r="C1000" s="6"/>
      <c r="D1000" s="6"/>
      <c r="E1000" s="6"/>
      <c r="F1000" s="6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30" t="str">
        <f>IFERROR(__xludf.DUMMYFUNCTION("IMPORTRANGE(""1--DGkU5oDw3gpAa_rQkeu1olWCf2iv8Pm7BNjqiyiuY"",""Listado Cursos!H:J"")"),"Codigo - Nombre")</f>
        <v>Codigo - Nombre</v>
      </c>
      <c r="B1" s="99" t="str">
        <f>IFERROR(__xludf.DUMMYFUNCTION("""COMPUTED_VALUE"""),"Diseño Curricular")</f>
        <v>Diseño Curricular</v>
      </c>
      <c r="C1" s="99" t="str">
        <f>IFERROR(__xludf.DUMMYFUNCTION("""COMPUTED_VALUE"""),"Analisis de contexto")</f>
        <v>Analisis de contexto</v>
      </c>
      <c r="D1" s="37" t="str">
        <f>IFERROR(__xludf.DUMMYFUNCTION("IMPORTRANGE(VLOOKUP(Competencias_actuales!F4,A:C,3,FALSE),""Competencias!B21:J35"")"),"No")</f>
        <v>No</v>
      </c>
      <c r="E1" s="37" t="str">
        <f>IFERROR(__xludf.DUMMYFUNCTION("""COMPUTED_VALUE"""),"Tipo")</f>
        <v>Tipo</v>
      </c>
      <c r="F1" s="37" t="str">
        <f>IFERROR(__xludf.DUMMYFUNCTION("""COMPUTED_VALUE"""),"Verbo en Presente")</f>
        <v>Verbo en Presente</v>
      </c>
      <c r="G1" s="37" t="str">
        <f>IFERROR(__xludf.DUMMYFUNCTION("""COMPUTED_VALUE"""),"Objeto de la acción")</f>
        <v>Objeto de la acción</v>
      </c>
      <c r="H1" s="37"/>
      <c r="I1" s="37" t="str">
        <f>IFERROR(__xludf.DUMMYFUNCTION("""COMPUTED_VALUE"""),"[Palabras conectoreas] Herramientas o metodología")</f>
        <v>[Palabras conectoreas] Herramientas o metodología</v>
      </c>
      <c r="J1" s="37" t="str">
        <f>IFERROR(__xludf.DUMMYFUNCTION("""COMPUTED_VALUE"""),"[Palabras conectoreas] Condiciones específicas")</f>
        <v>[Palabras conectoreas] Condiciones específicas</v>
      </c>
      <c r="K1" s="37"/>
      <c r="L1" s="37" t="str">
        <f>IFERROR(__xludf.DUMMYFUNCTION("""COMPUTED_VALUE"""),"Nivel")</f>
        <v>Nivel</v>
      </c>
      <c r="V1" s="37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37" t="str">
        <f>IFERROR(__xludf.DUMMYFUNCTION("""COMPUTED_VALUE"""),"Descripcion")</f>
        <v>Descripcion</v>
      </c>
      <c r="Y1" s="37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37" t="str">
        <f>IFERROR(__xludf.DUMMYFUNCTION("""COMPUTED_VALUE"""),"Descripcion")</f>
        <v>Descripcion</v>
      </c>
    </row>
    <row r="2">
      <c r="A2" s="37" t="str">
        <f>IFERROR(__xludf.DUMMYFUNCTION("""COMPUTED_VALUE"""),"17 - Área Social Humanística 1")</f>
        <v>17 - Área Social Humanística 1</v>
      </c>
      <c r="B2" s="37"/>
      <c r="C2" s="37"/>
      <c r="D2" s="37">
        <f>IFERROR(__xludf.DUMMYFUNCTION("""COMPUTED_VALUE"""),1.0)</f>
        <v>1</v>
      </c>
      <c r="E2" s="37" t="str">
        <f>IFERROR(__xludf.DUMMYFUNCTION("""COMPUTED_VALUE"""),"Especifica")</f>
        <v>Especifica</v>
      </c>
      <c r="F2" s="37" t="str">
        <f>IFERROR(__xludf.DUMMYFUNCTION("""COMPUTED_VALUE"""),"Explica")</f>
        <v>Explica</v>
      </c>
      <c r="G2" s="37" t="str">
        <f>IFERROR(__xludf.DUMMYFUNCTION("""COMPUTED_VALUE"""),"el concepto de  Cloud Computing, sus modelos de servicio y las ventajas y limitaciones de distintos proveedores Cloud ")</f>
        <v>el concepto de  Cloud Computing, sus modelos de servicio y las ventajas y limitaciones de distintos proveedores Cloud </v>
      </c>
      <c r="H2" s="37"/>
      <c r="I2" s="37" t="str">
        <f>IFERROR(__xludf.DUMMYFUNCTION("""COMPUTED_VALUE"""),"mediante ejemplos cotidianos, casos de uso empresarial y comparativas")</f>
        <v>mediante ejemplos cotidianos, casos de uso empresarial y comparativas</v>
      </c>
      <c r="J2" s="37" t="str">
        <f>IFERROR(__xludf.DUMMYFUNCTION("""COMPUTED_VALUE"""),"para el desarrollo de infraestructuras escalables y rentables.")</f>
        <v>para el desarrollo de infraestructuras escalables y rentables.</v>
      </c>
      <c r="K2" s="37"/>
      <c r="L2" s="37" t="str">
        <f>IFERROR(__xludf.DUMMYFUNCTION("""COMPUTED_VALUE"""),"Comprender")</f>
        <v>Comprender</v>
      </c>
      <c r="V2" s="37">
        <f>IFERROR(__xludf.DUMMYFUNCTION("""COMPUTED_VALUE"""),1.0)</f>
        <v>1</v>
      </c>
      <c r="W2" s="37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37">
        <f>IFERROR(__xludf.DUMMYFUNCTION("""COMPUTED_VALUE"""),1.0)</f>
        <v>1</v>
      </c>
      <c r="Z2" s="37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37" t="str">
        <f>IFERROR(__xludf.DUMMYFUNCTION("""COMPUTED_VALUE"""),"101 - Área Matemática Básica 1")</f>
        <v>101 - Área Matemática Básica 1</v>
      </c>
      <c r="B3" s="37"/>
      <c r="C3" s="37"/>
      <c r="D3" s="37"/>
      <c r="E3" s="37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F3" s="37"/>
      <c r="G3" s="37"/>
      <c r="H3" s="37"/>
      <c r="I3" s="37"/>
      <c r="J3" s="37"/>
      <c r="K3" s="37"/>
      <c r="L3" s="37"/>
      <c r="V3" s="37">
        <f>IFERROR(__xludf.DUMMYFUNCTION("""COMPUTED_VALUE"""),2.0)</f>
        <v>2</v>
      </c>
      <c r="W3" s="37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37">
        <f>IFERROR(__xludf.DUMMYFUNCTION("""COMPUTED_VALUE"""),2.0)</f>
        <v>2</v>
      </c>
      <c r="Z3" s="37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37" t="str">
        <f>IFERROR(__xludf.DUMMYFUNCTION("""COMPUTED_VALUE"""),"5 - Técnicas de Estudio e Investigación")</f>
        <v>5 - Técnicas de Estudio e Investigación</v>
      </c>
      <c r="B4" s="37"/>
      <c r="C4" s="37"/>
      <c r="D4" s="37">
        <f>IFERROR(__xludf.DUMMYFUNCTION("""COMPUTED_VALUE"""),2.0)</f>
        <v>2</v>
      </c>
      <c r="E4" s="37" t="str">
        <f>IFERROR(__xludf.DUMMYFUNCTION("""COMPUTED_VALUE"""),"Especifica")</f>
        <v>Especifica</v>
      </c>
      <c r="F4" s="37" t="str">
        <f>IFERROR(__xludf.DUMMYFUNCTION("""COMPUTED_VALUE"""),"Implementa")</f>
        <v>Implementa</v>
      </c>
      <c r="G4" s="37" t="str">
        <f>IFERROR(__xludf.DUMMYFUNCTION("""COMPUTED_VALUE"""),"servicios básicos de Cloud")</f>
        <v>servicios básicos de Cloud</v>
      </c>
      <c r="H4" s="37"/>
      <c r="I4" s="37" t="str">
        <f>IFERROR(__xludf.DUMMYFUNCTION("""COMPUTED_VALUE"""),"utilizando Amazon EC2, Amazon RDS, Amazon S3, Azure Virtual Machines, Azure SQL, Azure Blob Storage, Azure App Services y Azure Logic Apps")</f>
        <v>utilizando Amazon EC2, Amazon RDS, Amazon S3, Azure Virtual Machines, Azure SQL, Azure Blob Storage, Azure App Services y Azure Logic Apps</v>
      </c>
      <c r="J4" s="37" t="str">
        <f>IFERROR(__xludf.DUMMYFUNCTION("""COMPUTED_VALUE"""),"para desplegar aplicaciones básicas, considerando la configuración de redes, seguridad y escalabilidad.")</f>
        <v>para desplegar aplicaciones básicas, considerando la configuración de redes, seguridad y escalabilidad.</v>
      </c>
      <c r="K4" s="37"/>
      <c r="L4" s="37" t="str">
        <f>IFERROR(__xludf.DUMMYFUNCTION("""COMPUTED_VALUE"""),"Aplicar")</f>
        <v>Aplicar</v>
      </c>
      <c r="V4" s="37">
        <f>IFERROR(__xludf.DUMMYFUNCTION("""COMPUTED_VALUE"""),3.0)</f>
        <v>3</v>
      </c>
      <c r="W4" s="37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37">
        <f>IFERROR(__xludf.DUMMYFUNCTION("""COMPUTED_VALUE"""),3.0)</f>
        <v>3</v>
      </c>
      <c r="Z4" s="37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37" t="str">
        <f>IFERROR(__xludf.DUMMYFUNCTION("""COMPUTED_VALUE"""),"39 - Deportes 1")</f>
        <v>39 - Deportes 1</v>
      </c>
      <c r="B5" s="37"/>
      <c r="C5" s="37"/>
      <c r="D5" s="37"/>
      <c r="E5" s="37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F5" s="37"/>
      <c r="G5" s="37"/>
      <c r="H5" s="37"/>
      <c r="I5" s="37"/>
      <c r="J5" s="37"/>
      <c r="K5" s="37"/>
      <c r="L5" s="37"/>
      <c r="V5" s="37">
        <f>IFERROR(__xludf.DUMMYFUNCTION("""COMPUTED_VALUE"""),4.0)</f>
        <v>4</v>
      </c>
      <c r="W5" s="37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37">
        <f>IFERROR(__xludf.DUMMYFUNCTION("""COMPUTED_VALUE"""),4.0)</f>
        <v>4</v>
      </c>
      <c r="Z5" s="37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37" t="str">
        <f>IFERROR(__xludf.DUMMYFUNCTION("""COMPUTED_VALUE"""),"6 - Idioma Tecnico 1")</f>
        <v>6 - Idioma Tecnico 1</v>
      </c>
      <c r="B6" s="37"/>
      <c r="C6" s="37"/>
      <c r="D6" s="37">
        <f>IFERROR(__xludf.DUMMYFUNCTION("""COMPUTED_VALUE"""),3.0)</f>
        <v>3</v>
      </c>
      <c r="E6" s="37" t="str">
        <f>IFERROR(__xludf.DUMMYFUNCTION("""COMPUTED_VALUE"""),"Especifica")</f>
        <v>Especifica</v>
      </c>
      <c r="F6" s="37" t="str">
        <f>IFERROR(__xludf.DUMMYFUNCTION("""COMPUTED_VALUE"""),"Desarrolla")</f>
        <v>Desarrolla</v>
      </c>
      <c r="G6" s="37" t="str">
        <f>IFERROR(__xludf.DUMMYFUNCTION("""COMPUTED_VALUE"""),"aplicaciones serverless simples")</f>
        <v>aplicaciones serverless simples</v>
      </c>
      <c r="H6" s="37"/>
      <c r="I6" s="37" t="str">
        <f>IFERROR(__xludf.DUMMYFUNCTION("""COMPUTED_VALUE"""),"utilizando AWS Lambda y Azure Functions")</f>
        <v>utilizando AWS Lambda y Azure Functions</v>
      </c>
      <c r="J6" s="37" t="str">
        <f>IFERROR(__xludf.DUMMYFUNCTION("""COMPUTED_VALUE"""),"para procesar eventos y ejecutar la lógica de los negocios")</f>
        <v>para procesar eventos y ejecutar la lógica de los negocios</v>
      </c>
      <c r="K6" s="37"/>
      <c r="L6" s="37" t="str">
        <f>IFERROR(__xludf.DUMMYFUNCTION("""COMPUTED_VALUE"""),"Aplicar")</f>
        <v>Aplicar</v>
      </c>
      <c r="V6" s="37">
        <f>IFERROR(__xludf.DUMMYFUNCTION("""COMPUTED_VALUE"""),5.0)</f>
        <v>5</v>
      </c>
      <c r="W6" s="37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37">
        <f>IFERROR(__xludf.DUMMYFUNCTION("""COMPUTED_VALUE"""),5.0)</f>
        <v>5</v>
      </c>
      <c r="Z6" s="37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37" t="str">
        <f>IFERROR(__xludf.DUMMYFUNCTION("""COMPUTED_VALUE"""),"19 - Área Social Humanística 2")</f>
        <v>19 - Área Social Humanística 2</v>
      </c>
      <c r="B7" s="37"/>
      <c r="C7" s="37"/>
      <c r="D7" s="37"/>
      <c r="E7" s="37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F7" s="37"/>
      <c r="G7" s="37"/>
      <c r="H7" s="37"/>
      <c r="I7" s="37"/>
      <c r="J7" s="37"/>
      <c r="K7" s="37"/>
      <c r="L7" s="37"/>
      <c r="V7" s="37">
        <f>IFERROR(__xludf.DUMMYFUNCTION("""COMPUTED_VALUE"""),6.0)</f>
        <v>6</v>
      </c>
      <c r="W7" s="37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37">
        <f>IFERROR(__xludf.DUMMYFUNCTION("""COMPUTED_VALUE"""),6.0)</f>
        <v>6</v>
      </c>
      <c r="Z7" s="37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37" t="str">
        <f>IFERROR(__xludf.DUMMYFUNCTION("""COMPUTED_VALUE"""),"103 - Área Matemática Básica 2")</f>
        <v>103 - Área Matemática Básica 2</v>
      </c>
      <c r="B8" s="37"/>
      <c r="C8" s="37"/>
      <c r="D8" s="37">
        <f>IFERROR(__xludf.DUMMYFUNCTION("""COMPUTED_VALUE"""),4.0)</f>
        <v>4</v>
      </c>
      <c r="E8" s="37" t="str">
        <f>IFERROR(__xludf.DUMMYFUNCTION("""COMPUTED_VALUE"""),"Especifica")</f>
        <v>Especifica</v>
      </c>
      <c r="F8" s="37" t="str">
        <f>IFERROR(__xludf.DUMMYFUNCTION("""COMPUTED_VALUE"""),"Implementa")</f>
        <v>Implementa</v>
      </c>
      <c r="G8" s="37" t="str">
        <f>IFERROR(__xludf.DUMMYFUNCTION("""COMPUTED_VALUE"""),"servicios de inteligencia artificial")</f>
        <v>servicios de inteligencia artificial</v>
      </c>
      <c r="H8" s="37"/>
      <c r="I8" s="37" t="str">
        <f>IFERROR(__xludf.DUMMYFUNCTION("""COMPUTED_VALUE"""),"utilizando IA de AWS y Azure Cognitive Services")</f>
        <v>utilizando IA de AWS y Azure Cognitive Services</v>
      </c>
      <c r="J8" s="37" t="str">
        <f>IFERROR(__xludf.DUMMYFUNCTION("""COMPUTED_VALUE"""),"para resolver problemas de lenguaje natrual, análisis de imagenes o chabots.")</f>
        <v>para resolver problemas de lenguaje natrual, análisis de imagenes o chabots.</v>
      </c>
      <c r="K8" s="37"/>
      <c r="L8" s="37" t="str">
        <f>IFERROR(__xludf.DUMMYFUNCTION("""COMPUTED_VALUE"""),"Crear")</f>
        <v>Crear</v>
      </c>
      <c r="V8" s="37">
        <f>IFERROR(__xludf.DUMMYFUNCTION("""COMPUTED_VALUE"""),7.0)</f>
        <v>7</v>
      </c>
      <c r="W8" s="37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37">
        <f>IFERROR(__xludf.DUMMYFUNCTION("""COMPUTED_VALUE"""),7.0)</f>
        <v>7</v>
      </c>
      <c r="Z8" s="37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37" t="str">
        <f>IFERROR(__xludf.DUMMYFUNCTION("""COMPUTED_VALUE"""),"960 - Matemática Para Computación 1")</f>
        <v>960 - Matemática Para Computación 1</v>
      </c>
      <c r="B9" s="37"/>
      <c r="C9" s="37"/>
      <c r="D9" s="37"/>
      <c r="E9" s="37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F9" s="37"/>
      <c r="G9" s="37"/>
      <c r="H9" s="37"/>
      <c r="I9" s="37"/>
      <c r="J9" s="37"/>
      <c r="K9" s="37"/>
      <c r="L9" s="37"/>
      <c r="V9" s="37">
        <f>IFERROR(__xludf.DUMMYFUNCTION("""COMPUTED_VALUE"""),8.0)</f>
        <v>8</v>
      </c>
      <c r="W9" s="37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37" t="str">
        <f>IFERROR(__xludf.DUMMYFUNCTION("""COMPUTED_VALUE"""),"147 - Física Básica")</f>
        <v>147 - Física Básica</v>
      </c>
      <c r="B10" s="37"/>
      <c r="C10" s="37"/>
      <c r="D10" s="37">
        <f>IFERROR(__xludf.DUMMYFUNCTION("""COMPUTED_VALUE"""),5.0)</f>
        <v>5</v>
      </c>
      <c r="E10" s="37" t="str">
        <f>IFERROR(__xludf.DUMMYFUNCTION("""COMPUTED_VALUE"""),"Especifica")</f>
        <v>Especifica</v>
      </c>
      <c r="F10" s="37" t="str">
        <f>IFERROR(__xludf.DUMMYFUNCTION("""COMPUTED_VALUE"""),"Desarrolla")</f>
        <v>Desarrolla</v>
      </c>
      <c r="G10" s="37" t="str">
        <f>IFERROR(__xludf.DUMMYFUNCTION("""COMPUTED_VALUE"""),"aplicaciones low-code")</f>
        <v>aplicaciones low-code</v>
      </c>
      <c r="H10" s="37"/>
      <c r="I10" s="37" t="str">
        <f>IFERROR(__xludf.DUMMYFUNCTION("""COMPUTED_VALUE"""),"utilizando Power Automate y Power appas")</f>
        <v>utilizando Power Automate y Power appas</v>
      </c>
      <c r="J10" s="37" t="str">
        <f>IFERROR(__xludf.DUMMYFUNCTION("""COMPUTED_VALUE"""),"para integrar sistemas, flujos de trabajo y datos.")</f>
        <v>para integrar sistemas, flujos de trabajo y datos.</v>
      </c>
      <c r="K10" s="37"/>
      <c r="L10" s="37" t="str">
        <f>IFERROR(__xludf.DUMMYFUNCTION("""COMPUTED_VALUE"""),"Aplicar")</f>
        <v>Aplicar</v>
      </c>
      <c r="V10" s="37">
        <f>IFERROR(__xludf.DUMMYFUNCTION("""COMPUTED_VALUE"""),9.0)</f>
        <v>9</v>
      </c>
      <c r="W10" s="37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37" t="str">
        <f>IFERROR(__xludf.DUMMYFUNCTION("""COMPUTED_VALUE"""),"40 - Deportes 2")</f>
        <v>40 - Deportes 2</v>
      </c>
      <c r="B11" s="37"/>
      <c r="C11" s="37"/>
      <c r="D11" s="37"/>
      <c r="E11" s="37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F11" s="37"/>
      <c r="G11" s="37"/>
      <c r="H11" s="37"/>
      <c r="I11" s="37"/>
      <c r="J11" s="37"/>
      <c r="K11" s="37"/>
      <c r="L11" s="37"/>
    </row>
    <row r="12">
      <c r="A12" s="37" t="str">
        <f>IFERROR(__xludf.DUMMYFUNCTION("""COMPUTED_VALUE"""),"8 - Idioma Técnico 2")</f>
        <v>8 - Idioma Técnico 2</v>
      </c>
      <c r="B12" s="37"/>
      <c r="C12" s="37"/>
      <c r="D12" s="37">
        <f>IFERROR(__xludf.DUMMYFUNCTION("""COMPUTED_VALUE"""),6.0)</f>
        <v>6</v>
      </c>
      <c r="E12" s="37" t="str">
        <f>IFERROR(__xludf.DUMMYFUNCTION("""COMPUTED_VALUE"""),"Especifica")</f>
        <v>Especifica</v>
      </c>
      <c r="F12" s="37" t="str">
        <f>IFERROR(__xludf.DUMMYFUNCTION("""COMPUTED_VALUE"""),"Empaqueta")</f>
        <v>Empaqueta</v>
      </c>
      <c r="G12" s="37" t="str">
        <f>IFERROR(__xludf.DUMMYFUNCTION("""COMPUTED_VALUE"""),"aplicaciones en contenedores")</f>
        <v>aplicaciones en contenedores</v>
      </c>
      <c r="H12" s="37"/>
      <c r="I12" s="37" t="str">
        <f>IFERROR(__xludf.DUMMYFUNCTION("""COMPUTED_VALUE"""),"utilizando Docker")</f>
        <v>utilizando Docker</v>
      </c>
      <c r="J12" s="37" t="str">
        <f>IFERROR(__xludf.DUMMYFUNCTION("""COMPUTED_VALUE"""),"para garantizar portabilidad y consistencia entre entornos de desarrollo, pruebas y producción.")</f>
        <v>para garantizar portabilidad y consistencia entre entornos de desarrollo, pruebas y producción.</v>
      </c>
      <c r="K12" s="37"/>
      <c r="L12" s="37" t="str">
        <f>IFERROR(__xludf.DUMMYFUNCTION("""COMPUTED_VALUE"""),"Aplicar")</f>
        <v>Aplicar</v>
      </c>
    </row>
    <row r="13">
      <c r="A13" s="37" t="str">
        <f>IFERROR(__xludf.DUMMYFUNCTION("""COMPUTED_VALUE"""),"795 - Logica de Sitemas")</f>
        <v>795 - Logica de Sitemas</v>
      </c>
      <c r="B13" s="37" t="str">
        <f>IFERROR(__xludf.DUMMYFUNCTION("""COMPUTED_VALUE"""),"1tGblVNcAY7QU_u00ZUgf5GJjDZOK39vXt9FvZeMfPKg")</f>
        <v>1tGblVNcAY7QU_u00ZUgf5GJjDZOK39vXt9FvZeMfPKg</v>
      </c>
      <c r="C13" s="37" t="str">
        <f>IFERROR(__xludf.DUMMYFUNCTION("""COMPUTED_VALUE"""),"1olpUmnSmvTLYIIWFmjmPX_CYPTPOprpPEwh7xMvm2WM")</f>
        <v>1olpUmnSmvTLYIIWFmjmPX_CYPTPOprpPEwh7xMvm2WM</v>
      </c>
      <c r="D13" s="37"/>
      <c r="E13" s="37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F13" s="37"/>
      <c r="G13" s="37"/>
      <c r="H13" s="37"/>
      <c r="I13" s="37"/>
      <c r="J13" s="37"/>
      <c r="K13" s="37"/>
      <c r="L13" s="37"/>
    </row>
    <row r="14">
      <c r="A14" s="37" t="str">
        <f>IFERROR(__xludf.DUMMYFUNCTION("""COMPUTED_VALUE"""),"962 - Matemática Para Computación 2")</f>
        <v>962 - Matemática Para Computación 2</v>
      </c>
      <c r="B14" s="37"/>
      <c r="C14" s="37"/>
      <c r="D14" s="37">
        <f>IFERROR(__xludf.DUMMYFUNCTION("""COMPUTED_VALUE"""),7.0)</f>
        <v>7</v>
      </c>
      <c r="E14" s="37" t="str">
        <f>IFERROR(__xludf.DUMMYFUNCTION("""COMPUTED_VALUE"""),"General")</f>
        <v>General</v>
      </c>
      <c r="F14" s="37" t="str">
        <f>IFERROR(__xludf.DUMMYFUNCTION("""COMPUTED_VALUE"""),"Aplica")</f>
        <v>Aplica</v>
      </c>
      <c r="G14" s="37" t="str">
        <f>IFERROR(__xludf.DUMMYFUNCTION("""COMPUTED_VALUE"""),"principios básicos de ingeniería")</f>
        <v>principios básicos de ingeniería</v>
      </c>
      <c r="H14" s="37"/>
      <c r="I14" s="37" t="str">
        <f>IFERROR(__xludf.DUMMYFUNCTION("""COMPUTED_VALUE"""),"a través de conceptos de Cloud Computing")</f>
        <v>a través de conceptos de Cloud Computing</v>
      </c>
      <c r="J14" s="37" t="str">
        <f>IFERROR(__xludf.DUMMYFUNCTION("""COMPUTED_VALUE"""),"para el desarrollo de aplicaciones básicas")</f>
        <v>para el desarrollo de aplicaciones básicas</v>
      </c>
      <c r="K14" s="37"/>
      <c r="L14" s="37" t="str">
        <f>IFERROR(__xludf.DUMMYFUNCTION("""COMPUTED_VALUE"""),"Aplicar")</f>
        <v>Aplicar</v>
      </c>
    </row>
    <row r="15">
      <c r="A15" s="37" t="str">
        <f>IFERROR(__xludf.DUMMYFUNCTION("""COMPUTED_VALUE"""),"770 - Introducción a ala programación y computación 1")</f>
        <v>770 - Introducción a ala programación y computación 1</v>
      </c>
      <c r="B15" s="37" t="str">
        <f>IFERROR(__xludf.DUMMYFUNCTION("""COMPUTED_VALUE"""),"1hnCz3e7R539DMJA_6KBromYXyQWjR5cbX4eUFYyZB78")</f>
        <v>1hnCz3e7R539DMJA_6KBromYXyQWjR5cbX4eUFYyZB78</v>
      </c>
      <c r="C15" s="37" t="str">
        <f>IFERROR(__xludf.DUMMYFUNCTION("""COMPUTED_VALUE"""),"13K0AQ2QyRJmkDL_B9YKTYVy3OKQyLCIBTe0sAqstrFI")</f>
        <v>13K0AQ2QyRJmkDL_B9YKTYVy3OKQyLCIBTe0sAqstrFI</v>
      </c>
      <c r="D15" s="37"/>
      <c r="E15" s="37" t="str">
        <f>IFERROR(__xludf.DUMMYFUNCTION("""COMPUTED_VALUE"""),"Aplica principios básicos de ingeniería a través de conceptos de Cloud Computing para el desarrollo de aplicaciones básicas ")</f>
        <v>Aplica principios básicos de ingeniería a través de conceptos de Cloud Computing para el desarrollo de aplicaciones básicas </v>
      </c>
      <c r="F15" s="37"/>
      <c r="G15" s="37"/>
      <c r="H15" s="37"/>
      <c r="I15" s="37"/>
      <c r="J15" s="37"/>
      <c r="K15" s="37"/>
      <c r="L15" s="37"/>
    </row>
    <row r="16">
      <c r="A16" s="37" t="str">
        <f>IFERROR(__xludf.DUMMYFUNCTION("""COMPUTED_VALUE"""),"107 - Área Matemática Intermedia 1")</f>
        <v>107 - Área Matemática Intermedia 1</v>
      </c>
      <c r="B16" s="37"/>
      <c r="C16" s="37"/>
    </row>
    <row r="17">
      <c r="A17" s="37" t="str">
        <f>IFERROR(__xludf.DUMMYFUNCTION("""COMPUTED_VALUE"""),"150 - Fisica 1")</f>
        <v>150 - Fisica 1</v>
      </c>
      <c r="B17" s="37"/>
      <c r="C17" s="37"/>
    </row>
    <row r="18">
      <c r="A18" s="37" t="str">
        <f>IFERROR(__xludf.DUMMYFUNCTION("""COMPUTED_VALUE"""),"1 - Ética Profesional")</f>
        <v>1 - Ética Profesional</v>
      </c>
      <c r="B18" s="37"/>
      <c r="C18" s="37"/>
    </row>
    <row r="19">
      <c r="A19" s="37" t="str">
        <f>IFERROR(__xludf.DUMMYFUNCTION("""COMPUTED_VALUE"""),"9 - Idioma Técnico 3")</f>
        <v>9 - Idioma Técnico 3</v>
      </c>
      <c r="B19" s="37"/>
      <c r="C19" s="37"/>
    </row>
    <row r="20">
      <c r="A20" s="37" t="str">
        <f>IFERROR(__xludf.DUMMYFUNCTION("""COMPUTED_VALUE"""),"796 - Lenguajes Formales y de Programación")</f>
        <v>796 - Lenguajes Formales y de Programación</v>
      </c>
      <c r="B20" s="37" t="str">
        <f>IFERROR(__xludf.DUMMYFUNCTION("""COMPUTED_VALUE"""),"1-dPQ2ZCWWgBi4gyaV8KmnDWxF063I-zfJutKPMwJjrw")</f>
        <v>1-dPQ2ZCWWgBi4gyaV8KmnDWxF063I-zfJutKPMwJjrw</v>
      </c>
      <c r="C20" s="37" t="str">
        <f>IFERROR(__xludf.DUMMYFUNCTION("""COMPUTED_VALUE"""),"14p5IrzE6q20i9mtWRrbgJgIQTyfVIS4RiO1JbrFY3Ng")</f>
        <v>14p5IrzE6q20i9mtWRrbgJgIQTyfVIS4RiO1JbrFY3Ng</v>
      </c>
    </row>
    <row r="21">
      <c r="A21" s="37" t="str">
        <f>IFERROR(__xludf.DUMMYFUNCTION("""COMPUTED_VALUE"""),"771 - Introducción a la Programación y Computación 2")</f>
        <v>771 - Introducción a la Programación y Computación 2</v>
      </c>
      <c r="B21" s="37" t="str">
        <f>IFERROR(__xludf.DUMMYFUNCTION("""COMPUTED_VALUE"""),"1__RmanO4MiKBpppCFzGzdDC2fWb5cD2m02xjOur_6nk")</f>
        <v>1__RmanO4MiKBpppCFzGzdDC2fWb5cD2m02xjOur_6nk</v>
      </c>
      <c r="C21" s="37" t="str">
        <f>IFERROR(__xludf.DUMMYFUNCTION("""COMPUTED_VALUE"""),"1hwyEeHtTnYmAXwVixwCmwcQ_1S6x1ID8qghxNj_2les")</f>
        <v>1hwyEeHtTnYmAXwVixwCmwcQ_1S6x1ID8qghxNj_2les</v>
      </c>
    </row>
    <row r="22">
      <c r="A22" s="37" t="str">
        <f>IFERROR(__xludf.DUMMYFUNCTION("""COMPUTED_VALUE"""),"112 - Área Matemática Intermedia 2")</f>
        <v>112 - Área Matemática Intermedia 2</v>
      </c>
      <c r="B22" s="37"/>
      <c r="C22" s="37"/>
    </row>
    <row r="23">
      <c r="A23" s="37" t="str">
        <f>IFERROR(__xludf.DUMMYFUNCTION("""COMPUTED_VALUE"""),"114 - Área Matemática Intermedia 3")</f>
        <v>114 - Área Matemática Intermedia 3</v>
      </c>
      <c r="B23" s="37"/>
      <c r="C23" s="37"/>
    </row>
    <row r="24">
      <c r="A24" s="37" t="str">
        <f>IFERROR(__xludf.DUMMYFUNCTION("""COMPUTED_VALUE"""),"152 - Física 2")</f>
        <v>152 - Física 2</v>
      </c>
      <c r="B24" s="37"/>
      <c r="C24" s="37"/>
    </row>
    <row r="25">
      <c r="A25" s="37" t="str">
        <f>IFERROR(__xludf.DUMMYFUNCTION("""COMPUTED_VALUE"""),"10 - Lógica")</f>
        <v>10 - Lógica</v>
      </c>
      <c r="B25" s="37"/>
      <c r="C25" s="37"/>
      <c r="E25" s="37" t="str">
        <f>E17</f>
        <v/>
      </c>
    </row>
    <row r="26">
      <c r="A26" s="37" t="str">
        <f>IFERROR(__xludf.DUMMYFUNCTION("""COMPUTED_VALUE"""),"11 - Idioma Técnico 4")</f>
        <v>11 - Idioma Técnico 4</v>
      </c>
      <c r="B26" s="37"/>
      <c r="C26" s="37"/>
    </row>
    <row r="27">
      <c r="A27" s="37" t="str">
        <f>IFERROR(__xludf.DUMMYFUNCTION("""COMPUTED_VALUE"""),"2025 - Prácticas Iniciales")</f>
        <v>2025 - Prácticas Iniciales</v>
      </c>
      <c r="B27" s="37"/>
      <c r="C27" s="37"/>
    </row>
    <row r="28">
      <c r="A28" s="37" t="str">
        <f>IFERROR(__xludf.DUMMYFUNCTION("""COMPUTED_VALUE"""),"732 - Estadística 1")</f>
        <v>732 - Estadística 1</v>
      </c>
      <c r="B28" s="37"/>
      <c r="C28" s="37"/>
    </row>
    <row r="29">
      <c r="A29" s="37" t="str">
        <f>IFERROR(__xludf.DUMMYFUNCTION("""COMPUTED_VALUE"""),"777 - Organización de Lenguajes y Compiladores 1")</f>
        <v>777 - Organización de Lenguajes y Compiladores 1</v>
      </c>
      <c r="B29" s="37" t="str">
        <f>IFERROR(__xludf.DUMMYFUNCTION("""COMPUTED_VALUE"""),"1sMJr8kYIDF7fR6Jn6GMDZp8CdJCeGqxbVA5UTdBCrkM")</f>
        <v>1sMJr8kYIDF7fR6Jn6GMDZp8CdJCeGqxbVA5UTdBCrkM</v>
      </c>
      <c r="C29" s="37" t="str">
        <f>IFERROR(__xludf.DUMMYFUNCTION("""COMPUTED_VALUE"""),"1sznB5glJmAKD25Jh38PR_uvVmYLeupPdQfr5Z_cGdy0")</f>
        <v>1sznB5glJmAKD25Jh38PR_uvVmYLeupPdQfr5Z_cGdy0</v>
      </c>
    </row>
    <row r="30">
      <c r="A30" s="37" t="str">
        <f>IFERROR(__xludf.DUMMYFUNCTION("""COMPUTED_VALUE"""),"964 - Organización Computacional")</f>
        <v>964 - Organización Computacional</v>
      </c>
      <c r="B30" s="37" t="str">
        <f>IFERROR(__xludf.DUMMYFUNCTION("""COMPUTED_VALUE"""),"1daYmFoqU1khKZXb4p_ygv5jH4tkv8-tTjdTDSUh72F0")</f>
        <v>1daYmFoqU1khKZXb4p_ygv5jH4tkv8-tTjdTDSUh72F0</v>
      </c>
      <c r="C30" s="37" t="str">
        <f>IFERROR(__xludf.DUMMYFUNCTION("""COMPUTED_VALUE"""),"1Iu2w--EUMRmqIHGvbgJsupMFeebEMTKXZFzhrwGZtOs")</f>
        <v>1Iu2w--EUMRmqIHGvbgJsupMFeebEMTKXZFzhrwGZtOs</v>
      </c>
    </row>
    <row r="31">
      <c r="A31" s="37" t="str">
        <f>IFERROR(__xludf.DUMMYFUNCTION("""COMPUTED_VALUE"""),"772 - Estructuras de Datos")</f>
        <v>772 - Estructuras de Datos</v>
      </c>
      <c r="B31" s="37" t="str">
        <f>IFERROR(__xludf.DUMMYFUNCTION("""COMPUTED_VALUE"""),"1rTNY7hLmB5N26Z2z6EtF0axcaKKizdu0eLKqLiwUhto")</f>
        <v>1rTNY7hLmB5N26Z2z6EtF0axcaKKizdu0eLKqLiwUhto</v>
      </c>
      <c r="C31" s="37" t="str">
        <f>IFERROR(__xludf.DUMMYFUNCTION("""COMPUTED_VALUE"""),"1e8AAZ395NIODTRjmbwP3Bvdb1OJlsJawLywq7NixwcM")</f>
        <v>1e8AAZ395NIODTRjmbwP3Bvdb1OJlsJawLywq7NixwcM</v>
      </c>
    </row>
    <row r="32">
      <c r="A32" s="37" t="str">
        <f>IFERROR(__xludf.DUMMYFUNCTION("""COMPUTED_VALUE"""),"116 - Matemática Aplicada 3")</f>
        <v>116 - Matemática Aplicada 3</v>
      </c>
      <c r="B32" s="37"/>
      <c r="C32" s="37"/>
    </row>
    <row r="33">
      <c r="A33" s="37" t="str">
        <f>IFERROR(__xludf.DUMMYFUNCTION("""COMPUTED_VALUE"""),"118 - Matemática Aplicada 1")</f>
        <v>118 - Matemática Aplicada 1</v>
      </c>
      <c r="B33" s="37"/>
      <c r="C33" s="37"/>
    </row>
    <row r="34">
      <c r="A34" s="37" t="str">
        <f>IFERROR(__xludf.DUMMYFUNCTION("""COMPUTED_VALUE"""),"18 - Filosofía de la Ciencia")</f>
        <v>18 - Filosofía de la Ciencia</v>
      </c>
      <c r="B34" s="37"/>
      <c r="C34" s="37"/>
    </row>
    <row r="35">
      <c r="A35" s="37" t="str">
        <f>IFERROR(__xludf.DUMMYFUNCTION("""COMPUTED_VALUE"""),"722 - Teoría de Sistemas 1")</f>
        <v>722 - Teoría de Sistemas 1</v>
      </c>
      <c r="B35" s="37" t="str">
        <f>IFERROR(__xludf.DUMMYFUNCTION("""COMPUTED_VALUE"""),"1npGvBttUX2JHkjnmDRQmNhZacltUudlNKCQsLV09BaU")</f>
        <v>1npGvBttUX2JHkjnmDRQmNhZacltUudlNKCQsLV09BaU</v>
      </c>
      <c r="C35" s="37" t="str">
        <f>IFERROR(__xludf.DUMMYFUNCTION("""COMPUTED_VALUE"""),"1hMUPf0qs2ca-iLxfgxe8cYMynK4MJCa34p7GqRHJXbE")</f>
        <v>1hMUPf0qs2ca-iLxfgxe8cYMynK4MJCa34p7GqRHJXbE</v>
      </c>
    </row>
    <row r="36">
      <c r="A36" s="37" t="str">
        <f>IFERROR(__xludf.DUMMYFUNCTION("""COMPUTED_VALUE"""),"601 - Investigación de Operaciones 1")</f>
        <v>601 - Investigación de Operaciones 1</v>
      </c>
      <c r="B36" s="37"/>
      <c r="C36" s="37"/>
    </row>
    <row r="37">
      <c r="A37" s="37" t="str">
        <f>IFERROR(__xludf.DUMMYFUNCTION("""COMPUTED_VALUE"""),"14 - Economía")</f>
        <v>14 - Economía</v>
      </c>
      <c r="B37" s="37" t="str">
        <f>IFERROR(__xludf.DUMMYFUNCTION("""COMPUTED_VALUE"""),"169ieOogZaXHMs_PddYQfqqWTOgqfbgT1NUf8dchmb4U")</f>
        <v>169ieOogZaXHMs_PddYQfqqWTOgqfbgT1NUf8dchmb4U</v>
      </c>
      <c r="C37" s="37" t="str">
        <f>IFERROR(__xludf.DUMMYFUNCTION("""COMPUTED_VALUE"""),"1aRV1pjb7CPc1NcugRe2l92I-OqNZYb_4YmhuHZtvXzs")</f>
        <v>1aRV1pjb7CPc1NcugRe2l92I-OqNZYb_4YmhuHZtvXzs</v>
      </c>
    </row>
    <row r="38">
      <c r="A38" s="37" t="str">
        <f>IFERROR(__xludf.DUMMYFUNCTION("""COMPUTED_VALUE"""),"781 - Organización de Lenguajes y Compiladores 2")</f>
        <v>781 - Organización de Lenguajes y Compiladores 2</v>
      </c>
      <c r="B38" s="37" t="str">
        <f>IFERROR(__xludf.DUMMYFUNCTION("""COMPUTED_VALUE"""),"18dQYgiKWkpI2wogupgHf8u3PbCa0cKqMH6-ZsAIhLPw")</f>
        <v>18dQYgiKWkpI2wogupgHf8u3PbCa0cKqMH6-ZsAIhLPw</v>
      </c>
      <c r="C38" s="37" t="str">
        <f>IFERROR(__xludf.DUMMYFUNCTION("""COMPUTED_VALUE"""),"1FvDr2nu5sW0gxDkpPanB4sWbi78KZCAhc6wrywlrvlE")</f>
        <v>1FvDr2nu5sW0gxDkpPanB4sWbi78KZCAhc6wrywlrvlE</v>
      </c>
    </row>
    <row r="39">
      <c r="A39" s="37" t="str">
        <f>IFERROR(__xludf.DUMMYFUNCTION("""COMPUTED_VALUE"""),"778 - Arquitectura de Computadoras y Ensambladores 1")</f>
        <v>778 - Arquitectura de Computadoras y Ensambladores 1</v>
      </c>
      <c r="B39" s="37" t="str">
        <f>IFERROR(__xludf.DUMMYFUNCTION("""COMPUTED_VALUE"""),"13gNb-7XS_aMptaL1TLnLB5k06Y_okRzOgjzOxLHNuiI")</f>
        <v>13gNb-7XS_aMptaL1TLnLB5k06Y_okRzOgjzOxLHNuiI</v>
      </c>
      <c r="C39" s="37" t="str">
        <f>IFERROR(__xludf.DUMMYFUNCTION("""COMPUTED_VALUE"""),"1dlO25kugHQowRwF3LcOkrFuLGg-hP9mn9OW7x7GssMc")</f>
        <v>1dlO25kugHQowRwF3LcOkrFuLGg-hP9mn9OW7x7GssMc</v>
      </c>
    </row>
    <row r="40">
      <c r="A40" s="37" t="str">
        <f>IFERROR(__xludf.DUMMYFUNCTION("""COMPUTED_VALUE"""),"773 - Manejo e Implementación de Archivos")</f>
        <v>773 - Manejo e Implementación de Archivos</v>
      </c>
      <c r="B40" s="37" t="str">
        <f>IFERROR(__xludf.DUMMYFUNCTION("""COMPUTED_VALUE"""),"1VDaIod2C3XfezxQfz50xvWZ9yVVdVvNIqd-1xbJmaD8")</f>
        <v>1VDaIod2C3XfezxQfz50xvWZ9yVVdVvNIqd-1xbJmaD8</v>
      </c>
      <c r="C40" s="37" t="str">
        <f>IFERROR(__xludf.DUMMYFUNCTION("""COMPUTED_VALUE"""),"1MkqyTtzzzyQyC--twNt__AoC_Sd0UBC67j0f9nktivE")</f>
        <v>1MkqyTtzzzyQyC--twNt__AoC_Sd0UBC67j0f9nktivE</v>
      </c>
    </row>
    <row r="41">
      <c r="A41" s="37" t="str">
        <f>IFERROR(__xludf.DUMMYFUNCTION("""COMPUTED_VALUE"""),"122 - Matemática Aplicada 4")</f>
        <v>122 - Matemática Aplicada 4</v>
      </c>
      <c r="B41" s="37"/>
      <c r="C41" s="37"/>
    </row>
    <row r="42">
      <c r="A42" s="37" t="str">
        <f>IFERROR(__xludf.DUMMYFUNCTION("""COMPUTED_VALUE"""),"120 - Matemática Aplicada 2")</f>
        <v>120 - Matemática Aplicada 2</v>
      </c>
      <c r="B42" s="37"/>
      <c r="C42" s="37"/>
    </row>
    <row r="43">
      <c r="A43" s="37" t="str">
        <f>IFERROR(__xludf.DUMMYFUNCTION("""COMPUTED_VALUE"""),"200 - Ingeniería Eléctrica 1")</f>
        <v>200 - Ingeniería Eléctrica 1</v>
      </c>
      <c r="B43" s="37"/>
      <c r="C43" s="37"/>
    </row>
    <row r="44">
      <c r="A44" s="37" t="str">
        <f>IFERROR(__xludf.DUMMYFUNCTION("""COMPUTED_VALUE"""),"724 - Teoría de Sistemas 2")</f>
        <v>724 - Teoría de Sistemas 2</v>
      </c>
      <c r="B44" s="37" t="str">
        <f>IFERROR(__xludf.DUMMYFUNCTION("""COMPUTED_VALUE"""),"1Oh-yJJ9oc8SdDPJao-u31YXfwOPrsifu2o1a7Sf2-9k")</f>
        <v>1Oh-yJJ9oc8SdDPJao-u31YXfwOPrsifu2o1a7Sf2-9k</v>
      </c>
      <c r="C44" s="37" t="str">
        <f>IFERROR(__xludf.DUMMYFUNCTION("""COMPUTED_VALUE"""),"1O2rxycdV4XrytI_g4llqenReY8-rYp3frKI7rd6fNMI")</f>
        <v>1O2rxycdV4XrytI_g4llqenReY8-rYp3frKI7rd6fNMI</v>
      </c>
    </row>
    <row r="45">
      <c r="A45" s="37" t="str">
        <f>IFERROR(__xludf.DUMMYFUNCTION("""COMPUTED_VALUE"""),"603 - Investigación de Operaciones 2")</f>
        <v>603 - Investigación de Operaciones 2</v>
      </c>
      <c r="B45" s="37"/>
      <c r="C45" s="37"/>
    </row>
    <row r="46">
      <c r="A46" s="37" t="str">
        <f>IFERROR(__xludf.DUMMYFUNCTION("""COMPUTED_VALUE"""),"734 - Estadística 2")</f>
        <v>734 - Estadística 2</v>
      </c>
      <c r="B46" s="37"/>
      <c r="C46" s="37"/>
    </row>
    <row r="47">
      <c r="A47" s="37" t="str">
        <f>IFERROR(__xludf.DUMMYFUNCTION("""COMPUTED_VALUE"""),"281 - Sistemas Operativos 1")</f>
        <v>281 - Sistemas Operativos 1</v>
      </c>
      <c r="B47" s="37" t="str">
        <f>IFERROR(__xludf.DUMMYFUNCTION("""COMPUTED_VALUE"""),"1RAzDRLQZEv8Ck7PxnFQbrklrekiw5bDJFX0wgP7vFSQ")</f>
        <v>1RAzDRLQZEv8Ck7PxnFQbrklrekiw5bDJFX0wgP7vFSQ</v>
      </c>
      <c r="C47" s="37" t="str">
        <f>IFERROR(__xludf.DUMMYFUNCTION("""COMPUTED_VALUE"""),"145JPmfq4pDEEE_ipNtWzYQNDVrAg9WOQ9ocmZu_NegE")</f>
        <v>145JPmfq4pDEEE_ipNtWzYQNDVrAg9WOQ9ocmZu_NegE</v>
      </c>
    </row>
    <row r="48">
      <c r="A48" s="37" t="str">
        <f>IFERROR(__xludf.DUMMYFUNCTION("""COMPUTED_VALUE"""),"779 - Arquitectura de Computadoras y Ensambladores 2")</f>
        <v>779 - Arquitectura de Computadoras y Ensambladores 2</v>
      </c>
      <c r="B48" s="37" t="str">
        <f>IFERROR(__xludf.DUMMYFUNCTION("""COMPUTED_VALUE"""),"1_uxBhWcRvgBlCjf2s6O-Hvly7rBvJyZdswUKwm6KP5Y")</f>
        <v>1_uxBhWcRvgBlCjf2s6O-Hvly7rBvJyZdswUKwm6KP5Y</v>
      </c>
      <c r="C48" s="37" t="str">
        <f>IFERROR(__xludf.DUMMYFUNCTION("""COMPUTED_VALUE"""),"1dqk67SNWBGb15fqe17ZBfmxUg9pla5H7nqVOrGHYEJ4")</f>
        <v>1dqk67SNWBGb15fqe17ZBfmxUg9pla5H7nqVOrGHYEJ4</v>
      </c>
    </row>
    <row r="49">
      <c r="A49" s="37" t="str">
        <f>IFERROR(__xludf.DUMMYFUNCTION("""COMPUTED_VALUE"""),"970 - Redes de Computadoras 1")</f>
        <v>970 - Redes de Computadoras 1</v>
      </c>
      <c r="B49" s="37" t="str">
        <f>IFERROR(__xludf.DUMMYFUNCTION("""COMPUTED_VALUE"""),"1z_6lSkIcVZpEVQ4tR8c-eSvVvTxWsXwhmFojsLWeBGc")</f>
        <v>1z_6lSkIcVZpEVQ4tR8c-eSvVvTxWsXwhmFojsLWeBGc</v>
      </c>
      <c r="C49" s="37" t="str">
        <f>IFERROR(__xludf.DUMMYFUNCTION("""COMPUTED_VALUE"""),"18wRQLI8Pz51ZFEFWKE1SD6XVhlxOdJa1PpxDFo2dRT4")</f>
        <v>18wRQLI8Pz51ZFEFWKE1SD6XVhlxOdJa1PpxDFo2dRT4</v>
      </c>
    </row>
    <row r="50">
      <c r="A50" s="37" t="str">
        <f>IFERROR(__xludf.DUMMYFUNCTION("""COMPUTED_VALUE"""),"774 - Sistemas de Bases de Datos 1")</f>
        <v>774 - Sistemas de Bases de Datos 1</v>
      </c>
      <c r="B50" s="37" t="str">
        <f>IFERROR(__xludf.DUMMYFUNCTION("""COMPUTED_VALUE"""),"1h1zzA1-Xq9ihet57bP4f0PLQnKeojJUanhgpuP67hKs")</f>
        <v>1h1zzA1-Xq9ihet57bP4f0PLQnKeojJUanhgpuP67hKs</v>
      </c>
      <c r="C50" s="37" t="str">
        <f>IFERROR(__xludf.DUMMYFUNCTION("""COMPUTED_VALUE"""),"1xYInTWRmhz45q5vjazDVsb1EGOCbYqibWRBgZMK1g2I")</f>
        <v>1xYInTWRmhz45q5vjazDVsb1EGOCbYqibWRBgZMK1g2I</v>
      </c>
    </row>
    <row r="51">
      <c r="A51" s="37" t="str">
        <f>IFERROR(__xludf.DUMMYFUNCTION("""COMPUTED_VALUE"""),"2036 - Prácticas Intermedias")</f>
        <v>2036 - Prácticas Intermedias</v>
      </c>
      <c r="B51" s="37"/>
      <c r="C51" s="37"/>
    </row>
    <row r="52">
      <c r="A52" s="37" t="str">
        <f>IFERROR(__xludf.DUMMYFUNCTION("""COMPUTED_VALUE"""),"285 - Sistemas Operativos 2")</f>
        <v>285 - Sistemas Operativos 2</v>
      </c>
      <c r="B52" s="37" t="str">
        <f>IFERROR(__xludf.DUMMYFUNCTION("""COMPUTED_VALUE"""),"1VCx3jdfVNJvtMfY5j_W624CAT1QxC-9qVw_ts_erFM8")</f>
        <v>1VCx3jdfVNJvtMfY5j_W624CAT1QxC-9qVw_ts_erFM8</v>
      </c>
      <c r="C52" s="37" t="str">
        <f>IFERROR(__xludf.DUMMYFUNCTION("""COMPUTED_VALUE"""),"1ssmi68Gibgtkl07Zn0H_wQWjqhj_SfcpUhCdmyvVjb4")</f>
        <v>1ssmi68Gibgtkl07Zn0H_wQWjqhj_SfcpUhCdmyvVjb4</v>
      </c>
    </row>
    <row r="53">
      <c r="A53" s="37" t="str">
        <f>IFERROR(__xludf.DUMMYFUNCTION("""COMPUTED_VALUE"""),"975 - Redes de Computadoras 2")</f>
        <v>975 - Redes de Computadoras 2</v>
      </c>
      <c r="B53" s="37" t="str">
        <f>IFERROR(__xludf.DUMMYFUNCTION("""COMPUTED_VALUE"""),"1JcTacSIMIoXQmOixc1cssvrK_MVzZYH-Yo4FFSny6Nk")</f>
        <v>1JcTacSIMIoXQmOixc1cssvrK_MVzZYH-Yo4FFSny6Nk</v>
      </c>
      <c r="C53" s="37" t="str">
        <f>IFERROR(__xludf.DUMMYFUNCTION("""COMPUTED_VALUE"""),"1JLgRGqqoVVNY2eFrI2m3ylhPGOUPiyZN7_tK8VnOywQ")</f>
        <v>1JLgRGqqoVVNY2eFrI2m3ylhPGOUPiyZN7_tK8VnOywQ</v>
      </c>
    </row>
    <row r="54">
      <c r="A54" s="37" t="str">
        <f>IFERROR(__xludf.DUMMYFUNCTION("""COMPUTED_VALUE"""),"775 - Sistemas de Bases de Datos 2")</f>
        <v>775 - Sistemas de Bases de Datos 2</v>
      </c>
      <c r="B54" s="37" t="str">
        <f>IFERROR(__xludf.DUMMYFUNCTION("""COMPUTED_VALUE"""),"1TCVGX95CGGMGYvyB2K8cDve9RSMthqD6Tc1-CrmctiM")</f>
        <v>1TCVGX95CGGMGYvyB2K8cDve9RSMthqD6Tc1-CrmctiM</v>
      </c>
      <c r="C54" s="37" t="str">
        <f>IFERROR(__xludf.DUMMYFUNCTION("""COMPUTED_VALUE"""),"1c8vA2_5i-ARXIPU3ZxB3bwcKRbWh46erGG5KH3wrJyU")</f>
        <v>1c8vA2_5i-ARXIPU3ZxB3bwcKRbWh46erGG5KH3wrJyU</v>
      </c>
    </row>
    <row r="55">
      <c r="A55" s="37" t="str">
        <f>IFERROR(__xludf.DUMMYFUNCTION("""COMPUTED_VALUE"""),"283 - Análisis y Diseño de Sistemas 1")</f>
        <v>283 - Análisis y Diseño de Sistemas 1</v>
      </c>
      <c r="B55" s="37" t="str">
        <f>IFERROR(__xludf.DUMMYFUNCTION("""COMPUTED_VALUE"""),"1Y3HF-OxPbgEhNi6pNhbpImrQsH3btlYO6xtsnryrunY")</f>
        <v>1Y3HF-OxPbgEhNi6pNhbpImrQsH3btlYO6xtsnryrunY</v>
      </c>
      <c r="C55" s="37" t="str">
        <f>IFERROR(__xludf.DUMMYFUNCTION("""COMPUTED_VALUE"""),"12umvxFMZmSLGZenSQOXCnUePgu7-gug8FmFRz5MKlkE")</f>
        <v>12umvxFMZmSLGZenSQOXCnUePgu7-gug8FmFRz5MKlkE</v>
      </c>
    </row>
    <row r="56">
      <c r="A56" s="37" t="str">
        <f>IFERROR(__xludf.DUMMYFUNCTION("""COMPUTED_VALUE"""),"797 - Seminario de Sistemas 1")</f>
        <v>797 - Seminario de Sistemas 1</v>
      </c>
      <c r="B56" s="37" t="str">
        <f>IFERROR(__xludf.DUMMYFUNCTION("""COMPUTED_VALUE"""),"1VXfuZgL8iNYOe8XfW_5s4rVnIq-_Xurqk8xlOGGexqY")</f>
        <v>1VXfuZgL8iNYOe8XfW_5s4rVnIq-_Xurqk8xlOGGexqY</v>
      </c>
      <c r="C56" s="37" t="str">
        <f>IFERROR(__xludf.DUMMYFUNCTION("""COMPUTED_VALUE"""),"1eWOPuodcZlQ4YNCFI3CQ-Zpw7nxkVx7vi3XlMdj8he4")</f>
        <v>1eWOPuodcZlQ4YNCFI3CQ-Zpw7nxkVx7vi3XlMdj8he4</v>
      </c>
    </row>
    <row r="57">
      <c r="A57" s="37" t="str">
        <f>IFERROR(__xludf.DUMMYFUNCTION("""COMPUTED_VALUE"""),"700 - Ingeniería Económica 1")</f>
        <v>700 - Ingeniería Económica 1</v>
      </c>
      <c r="B57" s="37"/>
      <c r="C57" s="37"/>
    </row>
    <row r="58">
      <c r="A58" s="37" t="str">
        <f>IFERROR(__xludf.DUMMYFUNCTION("""COMPUTED_VALUE"""),"729 - Modelación y Simulación 1")</f>
        <v>729 - Modelación y Simulación 1</v>
      </c>
      <c r="B58" s="37" t="str">
        <f>IFERROR(__xludf.DUMMYFUNCTION("""COMPUTED_VALUE"""),"17u8GNz3HZ-i9KS-yxFiuJx9u7OawTwjyLcvLoG_x6W8")</f>
        <v>17u8GNz3HZ-i9KS-yxFiuJx9u7OawTwjyLcvLoG_x6W8</v>
      </c>
      <c r="C58" s="37" t="str">
        <f>IFERROR(__xludf.DUMMYFUNCTION("""COMPUTED_VALUE"""),"1NFJSyWLsOrGAG7qFKpXyw79GRTTb4abmj-M6aBddS5U")</f>
        <v>1NFJSyWLsOrGAG7qFKpXyw79GRTTb4abmj-M6aBddS5U</v>
      </c>
    </row>
    <row r="59">
      <c r="A59" s="37" t="str">
        <f>IFERROR(__xludf.DUMMYFUNCTION("""COMPUTED_VALUE"""),"786 - Sistemas Organizacionales y Gerenciales 1")</f>
        <v>786 - Sistemas Organizacionales y Gerenciales 1</v>
      </c>
      <c r="B59" s="37" t="str">
        <f>IFERROR(__xludf.DUMMYFUNCTION("""COMPUTED_VALUE"""),"1VTtCckO64u9REDx8UoxNJrYiavZGQU_hh4HvsOUiqlc")</f>
        <v>1VTtCckO64u9REDx8UoxNJrYiavZGQU_hh4HvsOUiqlc</v>
      </c>
      <c r="C59" s="37" t="str">
        <f>IFERROR(__xludf.DUMMYFUNCTION("""COMPUTED_VALUE"""),"1dMwVEKpg3j4uCN3CqoVXOWkBQbHNw7DIhtU8Bhc5Mqc")</f>
        <v>1dMwVEKpg3j4uCN3CqoVXOWkBQbHNw7DIhtU8Bhc5Mqc</v>
      </c>
    </row>
    <row r="60">
      <c r="A60" s="37" t="str">
        <f>IFERROR(__xludf.DUMMYFUNCTION("""COMPUTED_VALUE"""),"972 - Inteligencia Artificial 1")</f>
        <v>972 - Inteligencia Artificial 1</v>
      </c>
      <c r="B60" s="37" t="str">
        <f>IFERROR(__xludf.DUMMYFUNCTION("""COMPUTED_VALUE"""),"1C04a6qH3d2zJVb1hJwa6tsRQVM9LUb_nwyxMovG5tdI")</f>
        <v>1C04a6qH3d2zJVb1hJwa6tsRQVM9LUb_nwyxMovG5tdI</v>
      </c>
      <c r="C60" s="37" t="str">
        <f>IFERROR(__xludf.DUMMYFUNCTION("""COMPUTED_VALUE"""),"1CEh1GcUg3ntzgPT9yUocLDlrLJKmZCCl1MWUrEyfwzg")</f>
        <v>1CEh1GcUg3ntzgPT9yUocLDlrLJKmZCCl1MWUrEyfwzg</v>
      </c>
    </row>
    <row r="61">
      <c r="A61" s="37" t="str">
        <f>IFERROR(__xludf.DUMMYFUNCTION("""COMPUTED_VALUE"""),"966 - Seguridad y Auditoría de Redes de Computadoras")</f>
        <v>966 - Seguridad y Auditoría de Redes de Computadoras</v>
      </c>
      <c r="B61" s="37"/>
      <c r="C61" s="37"/>
    </row>
    <row r="62">
      <c r="A62" s="37" t="str">
        <f>IFERROR(__xludf.DUMMYFUNCTION("""COMPUTED_VALUE"""),"785 - Análisis y Diseño de Sistemas 2")</f>
        <v>785 - Análisis y Diseño de Sistemas 2</v>
      </c>
      <c r="B62" s="37" t="str">
        <f>IFERROR(__xludf.DUMMYFUNCTION("""COMPUTED_VALUE"""),"1_ufF1kvClwUUTsCz0V0fLuXjs_JRZWRSMCWkUEd8co4")</f>
        <v>1_ufF1kvClwUUTsCz0V0fLuXjs_JRZWRSMCWkUEd8co4</v>
      </c>
      <c r="C62" s="37" t="str">
        <f>IFERROR(__xludf.DUMMYFUNCTION("""COMPUTED_VALUE"""),"1HaBdPkxZx1GRiw5WlqxQhbxPWuW-mZVFEoUho7tsLDY")</f>
        <v>1HaBdPkxZx1GRiw5WlqxQhbxPWuW-mZVFEoUho7tsLDY</v>
      </c>
    </row>
    <row r="63">
      <c r="A63" s="37" t="str">
        <f>IFERROR(__xludf.DUMMYFUNCTION("""COMPUTED_VALUE"""),"798 - Seminario de Sistemas 2")</f>
        <v>798 - Seminario de Sistemas 2</v>
      </c>
      <c r="B63" s="37" t="str">
        <f>IFERROR(__xludf.DUMMYFUNCTION("""COMPUTED_VALUE"""),"1v6hbJdWzxkj7s5D7oM894pu3kMAvhEZGXUMfRFv7yKQ")</f>
        <v>1v6hbJdWzxkj7s5D7oM894pu3kMAvhEZGXUMfRFv7yKQ</v>
      </c>
      <c r="C63" s="37" t="str">
        <f>IFERROR(__xludf.DUMMYFUNCTION("""COMPUTED_VALUE"""),"1LxPO_wuZRiAXrS1EicVG-gQWzjILKll8Nqvs3MS7G_k")</f>
        <v>1LxPO_wuZRiAXrS1EicVG-gQWzjILKll8Nqvs3MS7G_k</v>
      </c>
    </row>
    <row r="64">
      <c r="A64" s="37" t="str">
        <f>IFERROR(__xludf.DUMMYFUNCTION("""COMPUTED_VALUE"""),"788 - Sistemas Aplicados 1")</f>
        <v>788 - Sistemas Aplicados 1</v>
      </c>
      <c r="B64" s="37"/>
      <c r="C64" s="37"/>
    </row>
    <row r="65">
      <c r="A65" s="37" t="str">
        <f>IFERROR(__xludf.DUMMYFUNCTION("""COMPUTED_VALUE"""),"776 - Bases de Datos Avanzadas")</f>
        <v>776 - Bases de Datos Avanzadas</v>
      </c>
      <c r="B65" s="37" t="str">
        <f>IFERROR(__xludf.DUMMYFUNCTION("""COMPUTED_VALUE"""),"1SZ2dJz29IsruB5vMYQ514xwGe6wyVx6cjMu_iwnHpFo")</f>
        <v>1SZ2dJz29IsruB5vMYQ514xwGe6wyVx6cjMu_iwnHpFo</v>
      </c>
      <c r="C65" s="37"/>
    </row>
    <row r="66">
      <c r="A66" s="37" t="str">
        <f>IFERROR(__xludf.DUMMYFUNCTION("""COMPUTED_VALUE"""),"2009 - Prácticas Finales Ingeniería Ciencias y Sistemas")</f>
        <v>2009 - Prácticas Finales Ingeniería Ciencias y Sistemas</v>
      </c>
      <c r="B66" s="37"/>
      <c r="C66" s="37"/>
    </row>
    <row r="67">
      <c r="A67" s="37" t="str">
        <f>IFERROR(__xludf.DUMMYFUNCTION("""COMPUTED_VALUE"""),"720 - Modelación y Simulación 2")</f>
        <v>720 - Modelación y Simulación 2</v>
      </c>
      <c r="B67" s="37" t="str">
        <f>IFERROR(__xludf.DUMMYFUNCTION("""COMPUTED_VALUE"""),"1ebc3-I4AbsLDHtzhtolQz7pqZDPvmSE0yZJu1xY6lLY")</f>
        <v>1ebc3-I4AbsLDHtzhtolQz7pqZDPvmSE0yZJu1xY6lLY</v>
      </c>
      <c r="C67" s="37" t="str">
        <f>IFERROR(__xludf.DUMMYFUNCTION("""COMPUTED_VALUE"""),"1VnSdYE6hCH1oAG4XdaAltDp-IuIjLZzv9KdrOGh2-0Y")</f>
        <v>1VnSdYE6hCH1oAG4XdaAltDp-IuIjLZzv9KdrOGh2-0Y</v>
      </c>
    </row>
    <row r="68">
      <c r="A68" s="37" t="str">
        <f>IFERROR(__xludf.DUMMYFUNCTION("""COMPUTED_VALUE"""),"787 - Sistemas Organizacionales y Gerenciales 2")</f>
        <v>787 - Sistemas Organizacionales y Gerenciales 2</v>
      </c>
      <c r="B68" s="37" t="str">
        <f>IFERROR(__xludf.DUMMYFUNCTION("""COMPUTED_VALUE"""),"1KpYHYX_EAJ-h4GLtSoCT8Rqz-xU4Qh5pUnEiPyxmEZA")</f>
        <v>1KpYHYX_EAJ-h4GLtSoCT8Rqz-xU4Qh5pUnEiPyxmEZA</v>
      </c>
      <c r="C68" s="37" t="str">
        <f>IFERROR(__xludf.DUMMYFUNCTION("""COMPUTED_VALUE"""),"106SYnPHxQ47_qT62NOXndjd6mPwE7LV7AXR9D4-euB8")</f>
        <v>106SYnPHxQ47_qT62NOXndjd6mPwE7LV7AXR9D4-euB8</v>
      </c>
    </row>
    <row r="69">
      <c r="A69" s="37" t="str">
        <f>IFERROR(__xludf.DUMMYFUNCTION("""COMPUTED_VALUE"""),"790 - Emprendedores de Negocios Informáticos")</f>
        <v>790 - Emprendedores de Negocios Informáticos</v>
      </c>
      <c r="B69" s="37"/>
      <c r="C69" s="37"/>
    </row>
    <row r="70">
      <c r="A70" s="37" t="str">
        <f>IFERROR(__xludf.DUMMYFUNCTION("""COMPUTED_VALUE"""),"968 - Inteligencia Artificial 2")</f>
        <v>968 - Inteligencia Artificial 2</v>
      </c>
      <c r="B70" s="37"/>
      <c r="C70" s="37"/>
    </row>
    <row r="71">
      <c r="A71" s="37" t="str">
        <f>IFERROR(__xludf.DUMMYFUNCTION("""COMPUTED_VALUE"""),"974 - Redes de Nueva Generación")</f>
        <v>974 - Redes de Nueva Generación</v>
      </c>
      <c r="B71" s="37"/>
      <c r="C71" s="37"/>
    </row>
    <row r="72">
      <c r="A72" s="37" t="str">
        <f>IFERROR(__xludf.DUMMYFUNCTION("""COMPUTED_VALUE"""),"780 - Software Avanzado")</f>
        <v>780 - Software Avanzado</v>
      </c>
      <c r="B72" s="37" t="str">
        <f>IFERROR(__xludf.DUMMYFUNCTION("""COMPUTED_VALUE"""),"1SZ2dJz29IsruB5vMYQ514xwGe6wyVx6cjMu_iwnHpFo")</f>
        <v>1SZ2dJz29IsruB5vMYQ514xwGe6wyVx6cjMu_iwnHpFo</v>
      </c>
      <c r="C72" s="37" t="str">
        <f>IFERROR(__xludf.DUMMYFUNCTION("""COMPUTED_VALUE"""),"13JrqVT0c3I6SzCOF1sKpi1qJKOryNTT4TsCaNwuV-24")</f>
        <v>13JrqVT0c3I6SzCOF1sKpi1qJKOryNTT4TsCaNwuV-24</v>
      </c>
    </row>
    <row r="73">
      <c r="A73" s="37" t="str">
        <f>IFERROR(__xludf.DUMMYFUNCTION("""COMPUTED_VALUE"""),"789 - Sistemas Aplicados 2")</f>
        <v>789 - Sistemas Aplicados 2</v>
      </c>
      <c r="B73" s="37"/>
      <c r="C73" s="37"/>
    </row>
    <row r="74">
      <c r="A74" s="37" t="str">
        <f>IFERROR(__xludf.DUMMYFUNCTION("""COMPUTED_VALUE"""),"735 - Auditoría de Proyectos de Software")</f>
        <v>735 - Auditoría de Proyectos de Software</v>
      </c>
      <c r="B74" s="37"/>
      <c r="C74" s="37"/>
    </row>
    <row r="75">
      <c r="A75" s="37" t="str">
        <f>IFERROR(__xludf.DUMMYFUNCTION("""COMPUTED_VALUE"""),"7999 - Seminario de Investigación EPS Sistemas")</f>
        <v>7999 - Seminario de Investigación EPS Sistemas</v>
      </c>
      <c r="B75" s="37"/>
      <c r="C75" s="37"/>
    </row>
    <row r="76">
      <c r="A76" s="37" t="str">
        <f>IFERROR(__xludf.DUMMYFUNCTION("""COMPUTED_VALUE"""),"799 - Seminario de Investigación")</f>
        <v>799 - Seminario de Investigación</v>
      </c>
      <c r="B76" s="37"/>
      <c r="C76" s="37"/>
    </row>
    <row r="77">
      <c r="A77" s="37" t="str">
        <f>IFERROR(__xludf.DUMMYFUNCTION("""COMPUTED_VALUE"""),"90 - Programacion de Computadoras 1")</f>
        <v>90 - Programacion de Computadoras 1</v>
      </c>
      <c r="B77" s="37" t="str">
        <f>IFERROR(__xludf.DUMMYFUNCTION("""COMPUTED_VALUE"""),"1qvDDGj5yCc7f5CzNszeAsW2HPXfptQjvWIcbjskCMYM")</f>
        <v>1qvDDGj5yCc7f5CzNszeAsW2HPXfptQjvWIcbjskCMYM</v>
      </c>
      <c r="C77" s="37" t="str">
        <f>IFERROR(__xludf.DUMMYFUNCTION("""COMPUTED_VALUE"""),"1YPGQg3r0TE0ZsibgKarHMDVR2FLaHLC0G5O84_GpNhw")</f>
        <v>1YPGQg3r0TE0ZsibgKarHMDVR2FLaHLC0G5O84_GpNhw</v>
      </c>
    </row>
    <row r="78">
      <c r="A78" s="37" t="str">
        <f>IFERROR(__xludf.DUMMYFUNCTION("""COMPUTED_VALUE"""),"92 - Programacion de Computadoras 2")</f>
        <v>92 - Programacion de Computadoras 2</v>
      </c>
      <c r="B78" s="37" t="str">
        <f>IFERROR(__xludf.DUMMYFUNCTION("""COMPUTED_VALUE"""),"1SCiXODhHsEGBVGnnYk9ZrO_gSOSvcGwu7lDEJBfLaEw")</f>
        <v>1SCiXODhHsEGBVGnnYk9ZrO_gSOSvcGwu7lDEJBfLaEw</v>
      </c>
      <c r="C78" s="37" t="str">
        <f>IFERROR(__xludf.DUMMYFUNCTION("""COMPUTED_VALUE"""),"1Bf3nWt47xcnM3VU3BvJaD4AcWQd-1GK4pJm4b69PzDk")</f>
        <v>1Bf3nWt47xcnM3VU3BvJaD4AcWQd-1GK4pJm4b69PzDk</v>
      </c>
    </row>
    <row r="79">
      <c r="A79" s="37" t="str">
        <f>IFERROR(__xludf.DUMMYFUNCTION("""COMPUTED_VALUE"""),"667 - Programacion Comercial 1")</f>
        <v>667 - Programacion Comercial 1</v>
      </c>
      <c r="B79" s="37" t="str">
        <f>IFERROR(__xludf.DUMMYFUNCTION("""COMPUTED_VALUE"""),"1q-0CM7N_hXOxknvTAL7P8U9-t9hqpm1-3l5E6r3G-qg")</f>
        <v>1q-0CM7N_hXOxknvTAL7P8U9-t9hqpm1-3l5E6r3G-qg</v>
      </c>
      <c r="C79" s="37" t="str">
        <f>IFERROR(__xludf.DUMMYFUNCTION("""COMPUTED_VALUE"""),"1R41rwbBQZrh9qjZ3XYjH5mTM9rwh34s58Htn787_YnY")</f>
        <v>1R41rwbBQZrh9qjZ3XYjH5mTM9rwh34s58Htn787_YnY</v>
      </c>
    </row>
    <row r="80">
      <c r="A80" s="37" t="str">
        <f>IFERROR(__xludf.DUMMYFUNCTION("""COMPUTED_VALUE"""),"768 - Algoritmos")</f>
        <v>768 - Algoritmos</v>
      </c>
      <c r="B80" s="37" t="str">
        <f>IFERROR(__xludf.DUMMYFUNCTION("""COMPUTED_VALUE"""),"1SjAd6zUsLAnVyCAYH7AjoRBdaM836qJGVSbcpa5npcA")</f>
        <v>1SjAd6zUsLAnVyCAYH7AjoRBdaM836qJGVSbcpa5npcA</v>
      </c>
      <c r="C80" s="37" t="str">
        <f>IFERROR(__xludf.DUMMYFUNCTION("""COMPUTED_VALUE"""),"1afm0IKlaJOgHVN4bCH6AUAoNUqhq0_44_T5aENeyCWo")</f>
        <v>1afm0IKlaJOgHVN4bCH6AUAoNUqhq0_44_T5aENeyCWo</v>
      </c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</sheetData>
  <drawing r:id="rId1"/>
</worksheet>
</file>